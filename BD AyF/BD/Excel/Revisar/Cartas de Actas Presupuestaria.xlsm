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Resumen" sheetId="6" r:id="rId1"/>
    <sheet name="BD" sheetId="3" r:id="rId2"/>
    <sheet name="Sometido" sheetId="7" r:id="rId3"/>
    <sheet name="Original 2019" sheetId="13" r:id="rId4"/>
    <sheet name="Revisado II 2018" sheetId="12" r:id="rId5"/>
    <sheet name="Revisado 2018" sheetId="9" r:id="rId6"/>
    <sheet name="Original 2018" sheetId="8" r:id="rId7"/>
    <sheet name="Revisado 2017" sheetId="10" r:id="rId8"/>
    <sheet name="Original 2017" sheetId="2" r:id="rId9"/>
    <sheet name="Revisado 2016" sheetId="4" r:id="rId10"/>
  </sheets>
  <functionGroups builtInGroupCount="17"/>
  <definedNames>
    <definedName name="_xlnm._FilterDatabase" localSheetId="8" hidden="1">'Original 2017'!$A$2:$L$200</definedName>
    <definedName name="_xlnm._FilterDatabase" localSheetId="9" hidden="1">'Revisado 2016'!$A$2:$M$200</definedName>
    <definedName name="_xlnm._FilterDatabase" localSheetId="2" hidden="1">Sometido!$A$1:$H$75</definedName>
    <definedName name="Evento">BD!$E$2:$E$1048576</definedName>
    <definedName name="EventoSometido">BD!$C$2:$C$1048576</definedName>
    <definedName name="NegocioFilial">BD!$A$2:$A$1048576</definedName>
    <definedName name="Presupuesto">BD!$B$2:$B$5</definedName>
    <definedName name="_xlnm.Print_Titles" localSheetId="0">Resumen!$A:$A</definedName>
  </definedNames>
  <calcPr calcId="145621"/>
</workbook>
</file>

<file path=xl/calcChain.xml><?xml version="1.0" encoding="utf-8"?>
<calcChain xmlns="http://schemas.openxmlformats.org/spreadsheetml/2006/main">
  <c r="M10" i="6" l="1"/>
  <c r="L10" i="6"/>
  <c r="K10" i="6"/>
  <c r="J10" i="6"/>
  <c r="I10" i="6"/>
  <c r="H10" i="6"/>
  <c r="G10" i="6"/>
  <c r="F10" i="6"/>
  <c r="E10" i="6"/>
  <c r="Q10" i="6" s="1"/>
  <c r="B10" i="6"/>
  <c r="D10" i="6" s="1"/>
  <c r="A54" i="6"/>
  <c r="A53" i="6"/>
  <c r="A52" i="6"/>
  <c r="A51" i="6"/>
  <c r="A50" i="6"/>
  <c r="A49" i="6"/>
  <c r="A48" i="6"/>
  <c r="A40" i="6"/>
  <c r="A39" i="6"/>
  <c r="A38" i="6"/>
  <c r="A37" i="6"/>
  <c r="A36" i="6"/>
  <c r="A35" i="6"/>
  <c r="A34" i="6"/>
  <c r="A26" i="6"/>
  <c r="A25" i="6"/>
  <c r="A24" i="6"/>
  <c r="A23" i="6"/>
  <c r="A22" i="6"/>
  <c r="A21" i="6"/>
  <c r="A20" i="6"/>
  <c r="E77" i="7"/>
  <c r="F77" i="7"/>
  <c r="E78" i="7"/>
  <c r="F78" i="7"/>
  <c r="E79" i="7"/>
  <c r="F79" i="7"/>
  <c r="E80" i="7"/>
  <c r="F80" i="7"/>
  <c r="E81" i="7"/>
  <c r="F81" i="7"/>
  <c r="E82" i="7"/>
  <c r="F82" i="7"/>
  <c r="E83" i="7"/>
  <c r="F83" i="7"/>
  <c r="E84" i="7"/>
  <c r="F84" i="7"/>
  <c r="E85" i="7"/>
  <c r="F85" i="7"/>
  <c r="E86" i="7"/>
  <c r="F86" i="7"/>
  <c r="E87" i="7"/>
  <c r="F87" i="7"/>
  <c r="E88" i="7"/>
  <c r="F88" i="7"/>
  <c r="E89" i="7"/>
  <c r="F89" i="7"/>
  <c r="E90" i="7"/>
  <c r="F90" i="7"/>
  <c r="E91" i="7"/>
  <c r="F91" i="7"/>
  <c r="E92" i="7"/>
  <c r="F92" i="7"/>
  <c r="F76" i="7"/>
  <c r="E76" i="7"/>
  <c r="I90" i="7"/>
  <c r="I91" i="7"/>
  <c r="I92" i="7"/>
  <c r="A90" i="7"/>
  <c r="A91" i="7"/>
  <c r="A92" i="7"/>
  <c r="I89" i="7"/>
  <c r="I88" i="7"/>
  <c r="I87" i="7"/>
  <c r="I86" i="7"/>
  <c r="I85" i="7"/>
  <c r="I84" i="7"/>
  <c r="I83" i="7"/>
  <c r="I82" i="7"/>
  <c r="I81" i="7"/>
  <c r="I80" i="7"/>
  <c r="I79" i="7"/>
  <c r="I78" i="7"/>
  <c r="I77" i="7"/>
  <c r="I76" i="7"/>
  <c r="F24" i="6"/>
  <c r="E24" i="6"/>
  <c r="B24" i="6"/>
  <c r="I24" i="6"/>
  <c r="J24" i="6"/>
  <c r="M24" i="6"/>
  <c r="F52" i="6" l="1"/>
  <c r="I52" i="6"/>
  <c r="M52" i="6"/>
  <c r="B38" i="6"/>
  <c r="B52" i="6" s="1"/>
  <c r="F38" i="6"/>
  <c r="J38" i="6"/>
  <c r="J52" i="6" s="1"/>
  <c r="E38" i="6"/>
  <c r="E52" i="6" s="1"/>
  <c r="I38" i="6"/>
  <c r="M38" i="6"/>
  <c r="D24" i="6"/>
  <c r="C24" i="6"/>
  <c r="N24" i="6"/>
  <c r="H24" i="6"/>
  <c r="G24" i="6"/>
  <c r="L24" i="6"/>
  <c r="K24" i="6"/>
  <c r="Q24" i="6"/>
  <c r="N10" i="6"/>
  <c r="C10" i="6"/>
  <c r="N38" i="6" l="1"/>
  <c r="N52" i="6" s="1"/>
  <c r="C38" i="6"/>
  <c r="C52" i="6" s="1"/>
  <c r="G38" i="6"/>
  <c r="G52" i="6"/>
  <c r="D38" i="6"/>
  <c r="D52" i="6" s="1"/>
  <c r="Q38" i="6"/>
  <c r="Q52" i="6" s="1"/>
  <c r="H38" i="6"/>
  <c r="H52" i="6"/>
  <c r="K38" i="6"/>
  <c r="K52" i="6" s="1"/>
  <c r="L38" i="6"/>
  <c r="L52" i="6" s="1"/>
  <c r="P24" i="6"/>
  <c r="O24" i="6"/>
  <c r="P10" i="6"/>
  <c r="O10" i="6"/>
  <c r="O38" i="6" l="1"/>
  <c r="O52" i="6" s="1"/>
  <c r="P38" i="6"/>
  <c r="P52" i="6" s="1"/>
  <c r="A89" i="7" l="1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G156" i="13"/>
  <c r="F156" i="13"/>
  <c r="G94" i="13"/>
  <c r="F94" i="13"/>
  <c r="G93" i="13"/>
  <c r="F93" i="13"/>
  <c r="G191" i="13"/>
  <c r="F191" i="13"/>
  <c r="G121" i="13"/>
  <c r="F121" i="13"/>
  <c r="G120" i="13"/>
  <c r="F120" i="13"/>
  <c r="G46" i="13"/>
  <c r="F46" i="13"/>
  <c r="G45" i="13"/>
  <c r="F45" i="13"/>
  <c r="G18" i="13"/>
  <c r="F18" i="13"/>
  <c r="I17" i="13"/>
  <c r="H226" i="13"/>
  <c r="G226" i="13"/>
  <c r="H225" i="13"/>
  <c r="G225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H193" i="13"/>
  <c r="G193" i="13"/>
  <c r="A193" i="13"/>
  <c r="H192" i="13"/>
  <c r="G192" i="13"/>
  <c r="A192" i="13"/>
  <c r="A191" i="13"/>
  <c r="A190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H158" i="13"/>
  <c r="G158" i="13"/>
  <c r="A158" i="13"/>
  <c r="H157" i="13"/>
  <c r="G157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H122" i="13"/>
  <c r="G122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H78" i="13"/>
  <c r="G78" i="13"/>
  <c r="A78" i="13"/>
  <c r="H77" i="13"/>
  <c r="G77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H47" i="13"/>
  <c r="G47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H17" i="13"/>
  <c r="G17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F3" i="13"/>
  <c r="H3" i="13" s="1"/>
  <c r="A3" i="13"/>
  <c r="G3" i="13" l="1"/>
  <c r="H226" i="12"/>
  <c r="G226" i="12"/>
  <c r="H225" i="12"/>
  <c r="G225" i="12"/>
  <c r="F74" i="7" l="1"/>
  <c r="G74" i="7"/>
  <c r="H74" i="7"/>
  <c r="E65" i="7" l="1"/>
  <c r="G65" i="7" s="1"/>
  <c r="E66" i="7"/>
  <c r="G66" i="7" s="1"/>
  <c r="F64" i="7" l="1"/>
  <c r="E64" i="7" s="1"/>
  <c r="E74" i="7" l="1"/>
  <c r="E75" i="7"/>
  <c r="G75" i="7" s="1"/>
  <c r="A75" i="7"/>
  <c r="A74" i="7"/>
  <c r="E73" i="7"/>
  <c r="G73" i="7" s="1"/>
  <c r="E72" i="7"/>
  <c r="G72" i="7" s="1"/>
  <c r="A73" i="7"/>
  <c r="A72" i="7"/>
  <c r="E69" i="7"/>
  <c r="G69" i="7" s="1"/>
  <c r="E70" i="7"/>
  <c r="G70" i="7" s="1"/>
  <c r="E71" i="7"/>
  <c r="G71" i="7" s="1"/>
  <c r="A71" i="7"/>
  <c r="A70" i="7"/>
  <c r="A69" i="7"/>
  <c r="E67" i="7"/>
  <c r="G67" i="7" s="1"/>
  <c r="E68" i="7"/>
  <c r="G68" i="7" s="1"/>
  <c r="A68" i="7"/>
  <c r="A67" i="7"/>
  <c r="A66" i="7"/>
  <c r="A65" i="7"/>
  <c r="A64" i="7"/>
  <c r="E63" i="7"/>
  <c r="G63" i="7" s="1"/>
  <c r="E62" i="7"/>
  <c r="G62" i="7" s="1"/>
  <c r="A63" i="7"/>
  <c r="A62" i="7"/>
  <c r="H193" i="12" l="1"/>
  <c r="G193" i="12"/>
  <c r="H192" i="12"/>
  <c r="G192" i="12"/>
  <c r="H191" i="12"/>
  <c r="G191" i="12"/>
  <c r="F3" i="12"/>
  <c r="H3" i="12" s="1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H158" i="12"/>
  <c r="G158" i="12"/>
  <c r="A158" i="12"/>
  <c r="H157" i="12"/>
  <c r="G157" i="12"/>
  <c r="A157" i="12"/>
  <c r="H156" i="12"/>
  <c r="G156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H122" i="12"/>
  <c r="G122" i="12"/>
  <c r="A122" i="12"/>
  <c r="H121" i="12"/>
  <c r="G121" i="12"/>
  <c r="A121" i="12"/>
  <c r="H120" i="12"/>
  <c r="G120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H94" i="12"/>
  <c r="G94" i="12"/>
  <c r="A94" i="12"/>
  <c r="H93" i="12"/>
  <c r="G93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H78" i="12"/>
  <c r="G78" i="12"/>
  <c r="A78" i="12"/>
  <c r="H77" i="12"/>
  <c r="G77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H47" i="12"/>
  <c r="G47" i="12"/>
  <c r="A47" i="12"/>
  <c r="H46" i="12"/>
  <c r="G46" i="12"/>
  <c r="A46" i="12"/>
  <c r="H45" i="12"/>
  <c r="G45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H18" i="12"/>
  <c r="G18" i="12"/>
  <c r="A18" i="12"/>
  <c r="H17" i="12"/>
  <c r="G17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G3" i="12"/>
  <c r="A3" i="12"/>
  <c r="F3" i="10" l="1"/>
  <c r="G3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H158" i="10"/>
  <c r="G158" i="10"/>
  <c r="A158" i="10"/>
  <c r="H157" i="10"/>
  <c r="G157" i="10"/>
  <c r="A157" i="10"/>
  <c r="H156" i="10"/>
  <c r="G156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H122" i="10"/>
  <c r="G122" i="10"/>
  <c r="A122" i="10"/>
  <c r="H121" i="10"/>
  <c r="G121" i="10"/>
  <c r="A121" i="10"/>
  <c r="H120" i="10"/>
  <c r="G120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H94" i="10"/>
  <c r="G94" i="10"/>
  <c r="A94" i="10"/>
  <c r="H93" i="10"/>
  <c r="G93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H78" i="10"/>
  <c r="G78" i="10"/>
  <c r="A78" i="10"/>
  <c r="H77" i="10"/>
  <c r="G77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H47" i="10"/>
  <c r="G47" i="10"/>
  <c r="A47" i="10"/>
  <c r="H46" i="10"/>
  <c r="G46" i="10"/>
  <c r="A46" i="10"/>
  <c r="H45" i="10"/>
  <c r="G45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H18" i="10"/>
  <c r="G18" i="10"/>
  <c r="A18" i="10"/>
  <c r="H17" i="10"/>
  <c r="G17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H3" i="10" l="1"/>
  <c r="E61" i="7"/>
  <c r="G61" i="7" s="1"/>
  <c r="A61" i="7"/>
  <c r="E60" i="7"/>
  <c r="G60" i="7" s="1"/>
  <c r="A60" i="7"/>
  <c r="E59" i="7"/>
  <c r="G59" i="7" s="1"/>
  <c r="A59" i="7"/>
  <c r="E58" i="7"/>
  <c r="G58" i="7" s="1"/>
  <c r="A58" i="7"/>
  <c r="E57" i="7"/>
  <c r="G57" i="7" s="1"/>
  <c r="A57" i="7"/>
  <c r="E56" i="7"/>
  <c r="G56" i="7" s="1"/>
  <c r="A56" i="7"/>
  <c r="E55" i="7"/>
  <c r="G55" i="7" s="1"/>
  <c r="A55" i="7"/>
  <c r="E54" i="7"/>
  <c r="G54" i="7" s="1"/>
  <c r="A54" i="7"/>
  <c r="E53" i="7"/>
  <c r="G53" i="7" s="1"/>
  <c r="A53" i="7"/>
  <c r="E52" i="7"/>
  <c r="G52" i="7" s="1"/>
  <c r="A52" i="7"/>
  <c r="E51" i="7"/>
  <c r="G51" i="7" s="1"/>
  <c r="A51" i="7"/>
  <c r="E50" i="7"/>
  <c r="G50" i="7" s="1"/>
  <c r="A50" i="7"/>
  <c r="E49" i="7"/>
  <c r="G49" i="7" s="1"/>
  <c r="A49" i="7"/>
  <c r="E48" i="7"/>
  <c r="G48" i="7" s="1"/>
  <c r="A48" i="7"/>
  <c r="E47" i="7"/>
  <c r="G47" i="7" s="1"/>
  <c r="A47" i="7"/>
  <c r="A40" i="7" l="1"/>
  <c r="E40" i="7"/>
  <c r="G40" i="7" s="1"/>
  <c r="E46" i="7" l="1"/>
  <c r="G46" i="7" s="1"/>
  <c r="E45" i="7"/>
  <c r="G45" i="7" s="1"/>
  <c r="A46" i="7"/>
  <c r="A45" i="7"/>
  <c r="E44" i="7"/>
  <c r="G44" i="7" s="1"/>
  <c r="A44" i="7"/>
  <c r="E43" i="7"/>
  <c r="G43" i="7" s="1"/>
  <c r="A43" i="7"/>
  <c r="E42" i="7"/>
  <c r="G42" i="7" s="1"/>
  <c r="A42" i="7"/>
  <c r="E41" i="7"/>
  <c r="G41" i="7" s="1"/>
  <c r="A41" i="7"/>
  <c r="E39" i="7"/>
  <c r="G39" i="7" s="1"/>
  <c r="A39" i="7"/>
  <c r="E38" i="7"/>
  <c r="G38" i="7" s="1"/>
  <c r="A38" i="7"/>
  <c r="E37" i="7"/>
  <c r="G37" i="7" s="1"/>
  <c r="A37" i="7"/>
  <c r="E36" i="7"/>
  <c r="G36" i="7" s="1"/>
  <c r="A36" i="7"/>
  <c r="E35" i="7"/>
  <c r="G35" i="7" s="1"/>
  <c r="A35" i="7"/>
  <c r="E34" i="7"/>
  <c r="G34" i="7" s="1"/>
  <c r="A34" i="7"/>
  <c r="E33" i="7"/>
  <c r="G33" i="7" s="1"/>
  <c r="A33" i="7"/>
  <c r="E32" i="7"/>
  <c r="G32" i="7" s="1"/>
  <c r="A32" i="7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H158" i="9"/>
  <c r="G158" i="9"/>
  <c r="A158" i="9"/>
  <c r="H157" i="9"/>
  <c r="G157" i="9"/>
  <c r="A157" i="9"/>
  <c r="H156" i="9"/>
  <c r="G156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H122" i="9"/>
  <c r="G122" i="9"/>
  <c r="A122" i="9"/>
  <c r="H121" i="9"/>
  <c r="G121" i="9"/>
  <c r="A121" i="9"/>
  <c r="H120" i="9"/>
  <c r="G120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H94" i="9"/>
  <c r="G94" i="9"/>
  <c r="A94" i="9"/>
  <c r="H93" i="9"/>
  <c r="G93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H78" i="9"/>
  <c r="G78" i="9"/>
  <c r="A78" i="9"/>
  <c r="H77" i="9"/>
  <c r="G77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H47" i="9"/>
  <c r="G47" i="9"/>
  <c r="A47" i="9"/>
  <c r="H46" i="9"/>
  <c r="G46" i="9"/>
  <c r="A46" i="9"/>
  <c r="H45" i="9"/>
  <c r="G45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H18" i="9"/>
  <c r="G18" i="9"/>
  <c r="A18" i="9"/>
  <c r="H17" i="9"/>
  <c r="G17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H3" i="9"/>
  <c r="A3" i="9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H149" i="8"/>
  <c r="G149" i="8"/>
  <c r="A149" i="8"/>
  <c r="H148" i="8"/>
  <c r="G148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H121" i="8"/>
  <c r="G121" i="8"/>
  <c r="A121" i="8"/>
  <c r="H120" i="8"/>
  <c r="G120" i="8"/>
  <c r="A120" i="8"/>
  <c r="H119" i="8"/>
  <c r="G119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H94" i="8"/>
  <c r="G94" i="8"/>
  <c r="A94" i="8"/>
  <c r="H93" i="8"/>
  <c r="G93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H67" i="8"/>
  <c r="G67" i="8"/>
  <c r="A67" i="8"/>
  <c r="H66" i="8"/>
  <c r="G66" i="8"/>
  <c r="A66" i="8"/>
  <c r="H65" i="8"/>
  <c r="G65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H39" i="8"/>
  <c r="G39" i="8"/>
  <c r="A39" i="8"/>
  <c r="H38" i="8"/>
  <c r="G38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H5" i="8"/>
  <c r="G5" i="8"/>
  <c r="A5" i="8"/>
  <c r="H4" i="8"/>
  <c r="G4" i="8"/>
  <c r="A4" i="8"/>
  <c r="H3" i="8"/>
  <c r="G3" i="8"/>
  <c r="A3" i="8"/>
  <c r="G3" i="9" l="1"/>
  <c r="H149" i="2"/>
  <c r="G149" i="2"/>
  <c r="H148" i="2"/>
  <c r="G148" i="2"/>
  <c r="H121" i="2" l="1"/>
  <c r="G121" i="2"/>
  <c r="H120" i="2"/>
  <c r="G120" i="2"/>
  <c r="H119" i="2"/>
  <c r="G119" i="2"/>
  <c r="H94" i="2" l="1"/>
  <c r="G94" i="2"/>
  <c r="H93" i="2"/>
  <c r="G93" i="2"/>
  <c r="G65" i="2"/>
  <c r="H67" i="2"/>
  <c r="G67" i="2"/>
  <c r="H66" i="2"/>
  <c r="G66" i="2"/>
  <c r="H65" i="2"/>
  <c r="E25" i="7"/>
  <c r="E24" i="7"/>
  <c r="E23" i="7"/>
  <c r="G23" i="7" s="1"/>
  <c r="E29" i="7"/>
  <c r="G29" i="7" s="1"/>
  <c r="E28" i="7"/>
  <c r="G28" i="7" s="1"/>
  <c r="E22" i="7"/>
  <c r="E21" i="7"/>
  <c r="G21" i="7" s="1"/>
  <c r="E20" i="7"/>
  <c r="E27" i="7"/>
  <c r="G27" i="7" s="1"/>
  <c r="E26" i="7"/>
  <c r="G26" i="7" s="1"/>
  <c r="E19" i="7"/>
  <c r="E18" i="7"/>
  <c r="E17" i="7"/>
  <c r="G31" i="7"/>
  <c r="F31" i="7"/>
  <c r="G30" i="7"/>
  <c r="A31" i="7"/>
  <c r="A30" i="7"/>
  <c r="A29" i="7"/>
  <c r="A28" i="7"/>
  <c r="A27" i="7"/>
  <c r="A26" i="7"/>
  <c r="G25" i="7"/>
  <c r="G24" i="7"/>
  <c r="A25" i="7"/>
  <c r="A24" i="7"/>
  <c r="A23" i="7"/>
  <c r="G22" i="7"/>
  <c r="G20" i="7"/>
  <c r="A22" i="7"/>
  <c r="A21" i="7"/>
  <c r="A20" i="7"/>
  <c r="A19" i="7" l="1"/>
  <c r="A18" i="7"/>
  <c r="A17" i="7"/>
  <c r="H19" i="7"/>
  <c r="G19" i="7" s="1"/>
  <c r="H18" i="7"/>
  <c r="G18" i="7"/>
  <c r="H17" i="7"/>
  <c r="G17" i="7" s="1"/>
  <c r="B17" i="6" l="1"/>
  <c r="B3" i="6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M21" i="6"/>
  <c r="J21" i="6"/>
  <c r="M11" i="6" l="1"/>
  <c r="J9" i="6"/>
  <c r="K9" i="6" s="1"/>
  <c r="L21" i="6"/>
  <c r="I7" i="6"/>
  <c r="M7" i="6"/>
  <c r="B6" i="6"/>
  <c r="I9" i="6"/>
  <c r="M12" i="6"/>
  <c r="B8" i="6"/>
  <c r="C8" i="6" s="1"/>
  <c r="I12" i="6"/>
  <c r="B11" i="6"/>
  <c r="C11" i="6" s="1"/>
  <c r="E6" i="6"/>
  <c r="E8" i="6"/>
  <c r="E11" i="6"/>
  <c r="F6" i="6"/>
  <c r="F8" i="6"/>
  <c r="G8" i="6" s="1"/>
  <c r="F11" i="6"/>
  <c r="G11" i="6" s="1"/>
  <c r="J6" i="6"/>
  <c r="J11" i="6"/>
  <c r="K11" i="6" s="1"/>
  <c r="M8" i="6"/>
  <c r="B7" i="6"/>
  <c r="C7" i="6" s="1"/>
  <c r="B9" i="6"/>
  <c r="B12" i="6"/>
  <c r="C12" i="6" s="1"/>
  <c r="I6" i="6"/>
  <c r="I8" i="6"/>
  <c r="I11" i="6"/>
  <c r="J12" i="6"/>
  <c r="K12" i="6" s="1"/>
  <c r="M9" i="6"/>
  <c r="E7" i="6"/>
  <c r="E9" i="6"/>
  <c r="E12" i="6"/>
  <c r="F7" i="6"/>
  <c r="F9" i="6"/>
  <c r="F12" i="6"/>
  <c r="G12" i="6" s="1"/>
  <c r="J8" i="6"/>
  <c r="K8" i="6" s="1"/>
  <c r="M6" i="6"/>
  <c r="C9" i="6" l="1"/>
  <c r="D9" i="6"/>
  <c r="H6" i="6"/>
  <c r="L9" i="6"/>
  <c r="H7" i="6"/>
  <c r="H8" i="6"/>
  <c r="M13" i="6"/>
  <c r="D8" i="6"/>
  <c r="L11" i="6"/>
  <c r="D12" i="6"/>
  <c r="D11" i="6"/>
  <c r="L12" i="6"/>
  <c r="K6" i="6"/>
  <c r="C6" i="6"/>
  <c r="C13" i="6" s="1"/>
  <c r="B13" i="6"/>
  <c r="I13" i="6"/>
  <c r="E13" i="6"/>
  <c r="G6" i="6"/>
  <c r="F13" i="6"/>
  <c r="L8" i="6"/>
  <c r="H12" i="6"/>
  <c r="D6" i="6"/>
  <c r="H9" i="6"/>
  <c r="G9" i="6"/>
  <c r="L6" i="6"/>
  <c r="G7" i="6"/>
  <c r="H11" i="6"/>
  <c r="D7" i="6"/>
  <c r="H13" i="6" l="1"/>
  <c r="D13" i="6"/>
  <c r="G13" i="6"/>
  <c r="B30" i="6"/>
  <c r="B44" i="6" s="1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J20" i="6"/>
  <c r="B22" i="6"/>
  <c r="M25" i="6"/>
  <c r="F22" i="6"/>
  <c r="M23" i="6"/>
  <c r="I26" i="6"/>
  <c r="B23" i="6"/>
  <c r="F20" i="6"/>
  <c r="E25" i="6"/>
  <c r="I21" i="6"/>
  <c r="E26" i="6"/>
  <c r="F25" i="6"/>
  <c r="F21" i="6"/>
  <c r="F23" i="6"/>
  <c r="F26" i="6"/>
  <c r="M22" i="6"/>
  <c r="J23" i="6"/>
  <c r="B20" i="6"/>
  <c r="M20" i="6"/>
  <c r="J25" i="6"/>
  <c r="I22" i="6"/>
  <c r="E21" i="6"/>
  <c r="I25" i="6"/>
  <c r="E20" i="6"/>
  <c r="J22" i="6"/>
  <c r="M26" i="6"/>
  <c r="I20" i="6"/>
  <c r="B26" i="6"/>
  <c r="E23" i="6"/>
  <c r="J26" i="6"/>
  <c r="B25" i="6"/>
  <c r="I23" i="6"/>
  <c r="B21" i="6"/>
  <c r="E22" i="6"/>
  <c r="M53" i="6" l="1"/>
  <c r="M54" i="6"/>
  <c r="M48" i="6"/>
  <c r="M27" i="6"/>
  <c r="J54" i="6"/>
  <c r="J27" i="6"/>
  <c r="J48" i="6"/>
  <c r="J53" i="6"/>
  <c r="H20" i="6"/>
  <c r="I50" i="6"/>
  <c r="I53" i="6"/>
  <c r="E53" i="6"/>
  <c r="B27" i="6"/>
  <c r="E27" i="6"/>
  <c r="I27" i="6"/>
  <c r="F27" i="6"/>
  <c r="K23" i="6"/>
  <c r="K22" i="6"/>
  <c r="K21" i="6"/>
  <c r="K26" i="6"/>
  <c r="K54" i="6" s="1"/>
  <c r="K20" i="6"/>
  <c r="K48" i="6" s="1"/>
  <c r="K25" i="6"/>
  <c r="K53" i="6" s="1"/>
  <c r="G25" i="6"/>
  <c r="G22" i="6"/>
  <c r="G23" i="6"/>
  <c r="G26" i="6"/>
  <c r="G21" i="6"/>
  <c r="G20" i="6"/>
  <c r="G34" i="6" s="1"/>
  <c r="C25" i="6"/>
  <c r="C22" i="6"/>
  <c r="C21" i="6"/>
  <c r="C23" i="6"/>
  <c r="C26" i="6"/>
  <c r="C20" i="6"/>
  <c r="B35" i="6"/>
  <c r="B49" i="6" s="1"/>
  <c r="B40" i="6"/>
  <c r="B54" i="6" s="1"/>
  <c r="B36" i="6"/>
  <c r="B50" i="6" s="1"/>
  <c r="B37" i="6"/>
  <c r="B51" i="6" s="1"/>
  <c r="B39" i="6"/>
  <c r="B53" i="6" s="1"/>
  <c r="E37" i="6"/>
  <c r="E51" i="6" s="1"/>
  <c r="E39" i="6"/>
  <c r="E35" i="6"/>
  <c r="E49" i="6" s="1"/>
  <c r="E40" i="6"/>
  <c r="E54" i="6" s="1"/>
  <c r="E36" i="6"/>
  <c r="E50" i="6" s="1"/>
  <c r="E34" i="6"/>
  <c r="E48" i="6" s="1"/>
  <c r="F37" i="6"/>
  <c r="F51" i="6" s="1"/>
  <c r="F39" i="6"/>
  <c r="F53" i="6" s="1"/>
  <c r="F35" i="6"/>
  <c r="F49" i="6" s="1"/>
  <c r="F40" i="6"/>
  <c r="F54" i="6" s="1"/>
  <c r="F36" i="6"/>
  <c r="F50" i="6" s="1"/>
  <c r="I35" i="6"/>
  <c r="I49" i="6" s="1"/>
  <c r="I36" i="6"/>
  <c r="I37" i="6"/>
  <c r="I51" i="6" s="1"/>
  <c r="I40" i="6"/>
  <c r="I54" i="6" s="1"/>
  <c r="I39" i="6"/>
  <c r="F34" i="6"/>
  <c r="F48" i="6" s="1"/>
  <c r="I34" i="6"/>
  <c r="I48" i="6" s="1"/>
  <c r="J34" i="6"/>
  <c r="M34" i="6"/>
  <c r="J37" i="6"/>
  <c r="J51" i="6" s="1"/>
  <c r="J36" i="6"/>
  <c r="J50" i="6" s="1"/>
  <c r="J39" i="6"/>
  <c r="J40" i="6"/>
  <c r="M36" i="6"/>
  <c r="M50" i="6" s="1"/>
  <c r="M37" i="6"/>
  <c r="M51" i="6" s="1"/>
  <c r="M39" i="6"/>
  <c r="M35" i="6"/>
  <c r="M49" i="6" s="1"/>
  <c r="M40" i="6"/>
  <c r="B34" i="6"/>
  <c r="B48" i="6" s="1"/>
  <c r="D20" i="6"/>
  <c r="N6" i="6"/>
  <c r="N8" i="6"/>
  <c r="N11" i="6"/>
  <c r="N12" i="6"/>
  <c r="Q6" i="6"/>
  <c r="N9" i="6"/>
  <c r="Q7" i="6"/>
  <c r="Q8" i="6"/>
  <c r="Q9" i="6"/>
  <c r="Q11" i="6"/>
  <c r="Q12" i="6"/>
  <c r="Q26" i="6"/>
  <c r="Q25" i="6"/>
  <c r="Q23" i="6"/>
  <c r="Q22" i="6"/>
  <c r="Q21" i="6"/>
  <c r="Q20" i="6"/>
  <c r="Q34" i="6" s="1"/>
  <c r="N26" i="6"/>
  <c r="N25" i="6"/>
  <c r="N39" i="6" s="1"/>
  <c r="N23" i="6"/>
  <c r="N22" i="6"/>
  <c r="N21" i="6"/>
  <c r="L26" i="6"/>
  <c r="L54" i="6" s="1"/>
  <c r="L25" i="6"/>
  <c r="L53" i="6" s="1"/>
  <c r="L23" i="6"/>
  <c r="L22" i="6"/>
  <c r="H26" i="6"/>
  <c r="H25" i="6"/>
  <c r="H23" i="6"/>
  <c r="H22" i="6"/>
  <c r="H21" i="6"/>
  <c r="D26" i="6"/>
  <c r="D25" i="6"/>
  <c r="D23" i="6"/>
  <c r="D22" i="6"/>
  <c r="D21" i="6"/>
  <c r="H158" i="4"/>
  <c r="G158" i="4"/>
  <c r="H157" i="4"/>
  <c r="G157" i="4"/>
  <c r="H156" i="4"/>
  <c r="G156" i="4"/>
  <c r="H122" i="4"/>
  <c r="G122" i="4"/>
  <c r="H121" i="4"/>
  <c r="G121" i="4"/>
  <c r="H120" i="4"/>
  <c r="G120" i="4"/>
  <c r="H94" i="4"/>
  <c r="G94" i="4"/>
  <c r="H93" i="4"/>
  <c r="G93" i="4"/>
  <c r="H78" i="4"/>
  <c r="G78" i="4"/>
  <c r="H77" i="4"/>
  <c r="G77" i="4"/>
  <c r="H47" i="4"/>
  <c r="G47" i="4"/>
  <c r="H46" i="4"/>
  <c r="G46" i="4"/>
  <c r="H45" i="4"/>
  <c r="G45" i="4"/>
  <c r="F3" i="4"/>
  <c r="H18" i="4"/>
  <c r="G18" i="4"/>
  <c r="H17" i="4"/>
  <c r="G17" i="4"/>
  <c r="N40" i="6" l="1"/>
  <c r="N54" i="6" s="1"/>
  <c r="Q37" i="6"/>
  <c r="Q51" i="6" s="1"/>
  <c r="Q35" i="6"/>
  <c r="Q49" i="6" s="1"/>
  <c r="Q40" i="6"/>
  <c r="Q54" i="6" s="1"/>
  <c r="Q36" i="6"/>
  <c r="Q50" i="6" s="1"/>
  <c r="O9" i="6"/>
  <c r="P9" i="6"/>
  <c r="P8" i="6"/>
  <c r="O8" i="6"/>
  <c r="N36" i="6"/>
  <c r="N50" i="6" s="1"/>
  <c r="N37" i="6"/>
  <c r="N51" i="6" s="1"/>
  <c r="P12" i="6"/>
  <c r="O12" i="6"/>
  <c r="O6" i="6"/>
  <c r="P6" i="6"/>
  <c r="O11" i="6"/>
  <c r="P11" i="6"/>
  <c r="Q53" i="6"/>
  <c r="Q39" i="6"/>
  <c r="K39" i="6"/>
  <c r="C37" i="6"/>
  <c r="C51" i="6" s="1"/>
  <c r="K40" i="6"/>
  <c r="G48" i="6"/>
  <c r="H37" i="6"/>
  <c r="H51" i="6" s="1"/>
  <c r="L36" i="6"/>
  <c r="L50" i="6" s="1"/>
  <c r="O23" i="6"/>
  <c r="G36" i="6"/>
  <c r="G50" i="6" s="1"/>
  <c r="D37" i="6"/>
  <c r="D51" i="6" s="1"/>
  <c r="H39" i="6"/>
  <c r="H53" i="6" s="1"/>
  <c r="L37" i="6"/>
  <c r="L51" i="6" s="1"/>
  <c r="L40" i="6"/>
  <c r="O25" i="6"/>
  <c r="O39" i="6" s="1"/>
  <c r="C35" i="6"/>
  <c r="C49" i="6" s="1"/>
  <c r="G35" i="6"/>
  <c r="G49" i="6" s="1"/>
  <c r="G39" i="6"/>
  <c r="G53" i="6" s="1"/>
  <c r="D35" i="6"/>
  <c r="D49" i="6" s="1"/>
  <c r="D39" i="6"/>
  <c r="D53" i="6" s="1"/>
  <c r="H35" i="6"/>
  <c r="H49" i="6" s="1"/>
  <c r="H40" i="6"/>
  <c r="H54" i="6" s="1"/>
  <c r="O21" i="6"/>
  <c r="O26" i="6"/>
  <c r="C36" i="6"/>
  <c r="C50" i="6" s="1"/>
  <c r="G40" i="6"/>
  <c r="G54" i="6" s="1"/>
  <c r="K36" i="6"/>
  <c r="K50" i="6" s="1"/>
  <c r="D36" i="6"/>
  <c r="D50" i="6" s="1"/>
  <c r="D40" i="6"/>
  <c r="D54" i="6" s="1"/>
  <c r="H36" i="6"/>
  <c r="H50" i="6" s="1"/>
  <c r="L39" i="6"/>
  <c r="O22" i="6"/>
  <c r="C40" i="6"/>
  <c r="C54" i="6" s="1"/>
  <c r="C39" i="6"/>
  <c r="C53" i="6" s="1"/>
  <c r="G37" i="6"/>
  <c r="G51" i="6" s="1"/>
  <c r="K37" i="6"/>
  <c r="K51" i="6" s="1"/>
  <c r="B41" i="6"/>
  <c r="B55" i="6" s="1"/>
  <c r="F41" i="6"/>
  <c r="F55" i="6" s="1"/>
  <c r="M41" i="6"/>
  <c r="M55" i="6" s="1"/>
  <c r="I41" i="6"/>
  <c r="I55" i="6" s="1"/>
  <c r="E41" i="6"/>
  <c r="E55" i="6" s="1"/>
  <c r="D34" i="6"/>
  <c r="D48" i="6" s="1"/>
  <c r="D27" i="6"/>
  <c r="H34" i="6"/>
  <c r="H48" i="6" s="1"/>
  <c r="H27" i="6"/>
  <c r="G27" i="6"/>
  <c r="C34" i="6"/>
  <c r="C48" i="6" s="1"/>
  <c r="C27" i="6"/>
  <c r="Q27" i="6"/>
  <c r="K27" i="6"/>
  <c r="Q13" i="6"/>
  <c r="Q48" i="6"/>
  <c r="N53" i="6"/>
  <c r="P25" i="6"/>
  <c r="K34" i="6"/>
  <c r="N20" i="6"/>
  <c r="N34" i="6" s="1"/>
  <c r="L20" i="6"/>
  <c r="L48" i="6" s="1"/>
  <c r="P22" i="6"/>
  <c r="P26" i="6"/>
  <c r="P21" i="6"/>
  <c r="P23" i="6"/>
  <c r="H3" i="4"/>
  <c r="G3" i="4"/>
  <c r="H39" i="2"/>
  <c r="G39" i="2"/>
  <c r="H38" i="2"/>
  <c r="G38" i="2"/>
  <c r="G4" i="2"/>
  <c r="H4" i="2"/>
  <c r="G5" i="2"/>
  <c r="H5" i="2"/>
  <c r="H3" i="2"/>
  <c r="G3" i="2"/>
  <c r="P39" i="6" l="1"/>
  <c r="P53" i="6" s="1"/>
  <c r="P37" i="6"/>
  <c r="P51" i="6" s="1"/>
  <c r="O36" i="6"/>
  <c r="O50" i="6" s="1"/>
  <c r="O40" i="6"/>
  <c r="O54" i="6" s="1"/>
  <c r="O37" i="6"/>
  <c r="O51" i="6" s="1"/>
  <c r="P36" i="6"/>
  <c r="P50" i="6" s="1"/>
  <c r="P40" i="6"/>
  <c r="P54" i="6" s="1"/>
  <c r="N48" i="6"/>
  <c r="G41" i="6"/>
  <c r="G55" i="6" s="1"/>
  <c r="H41" i="6"/>
  <c r="H55" i="6" s="1"/>
  <c r="C41" i="6"/>
  <c r="C55" i="6" s="1"/>
  <c r="D41" i="6"/>
  <c r="D55" i="6" s="1"/>
  <c r="Q41" i="6"/>
  <c r="Q55" i="6" s="1"/>
  <c r="L34" i="6"/>
  <c r="L27" i="6"/>
  <c r="O20" i="6"/>
  <c r="O34" i="6" s="1"/>
  <c r="N27" i="6"/>
  <c r="O53" i="6"/>
  <c r="P20" i="6"/>
  <c r="P34" i="6" s="1"/>
  <c r="P48" i="6" l="1"/>
  <c r="O48" i="6"/>
  <c r="P27" i="6"/>
  <c r="O27" i="6"/>
  <c r="J7" i="6" l="1"/>
  <c r="J35" i="6" s="1"/>
  <c r="J41" i="6" l="1"/>
  <c r="J55" i="6" s="1"/>
  <c r="J49" i="6"/>
  <c r="N7" i="6"/>
  <c r="L7" i="6"/>
  <c r="J13" i="6"/>
  <c r="K7" i="6"/>
  <c r="N35" i="6" l="1"/>
  <c r="O7" i="6"/>
  <c r="P7" i="6"/>
  <c r="N13" i="6"/>
  <c r="K35" i="6"/>
  <c r="K13" i="6"/>
  <c r="L13" i="6"/>
  <c r="L35" i="6"/>
  <c r="P35" i="6" l="1"/>
  <c r="P13" i="6"/>
  <c r="O35" i="6"/>
  <c r="O13" i="6"/>
  <c r="K49" i="6"/>
  <c r="K41" i="6"/>
  <c r="K55" i="6" s="1"/>
  <c r="N49" i="6"/>
  <c r="N41" i="6"/>
  <c r="N55" i="6" s="1"/>
  <c r="L41" i="6"/>
  <c r="L55" i="6" s="1"/>
  <c r="L49" i="6"/>
  <c r="O49" i="6" l="1"/>
  <c r="O41" i="6"/>
  <c r="O55" i="6" s="1"/>
  <c r="P49" i="6"/>
  <c r="P41" i="6"/>
  <c r="P55" i="6" s="1"/>
</calcChain>
</file>

<file path=xl/sharedStrings.xml><?xml version="1.0" encoding="utf-8"?>
<sst xmlns="http://schemas.openxmlformats.org/spreadsheetml/2006/main" count="834" uniqueCount="62">
  <si>
    <t>PDV MARINA</t>
  </si>
  <si>
    <t>COMMERCHAMP</t>
  </si>
  <si>
    <t>COMERCIO Y SUMINISTRO</t>
  </si>
  <si>
    <t>ENT</t>
  </si>
  <si>
    <t>Carta de Asignación Presupuestaria</t>
  </si>
  <si>
    <t>Bs. Eq.</t>
  </si>
  <si>
    <t>$ Eq.</t>
  </si>
  <si>
    <t>Bs. Puros</t>
  </si>
  <si>
    <t>$ Puros</t>
  </si>
  <si>
    <t>Negocio/Filial</t>
  </si>
  <si>
    <t>PETROMAR</t>
  </si>
  <si>
    <t>MERCADO NACIONAL</t>
  </si>
  <si>
    <t>Presupuesto</t>
  </si>
  <si>
    <t>Operación</t>
  </si>
  <si>
    <t>OCyG</t>
  </si>
  <si>
    <t>Inversión</t>
  </si>
  <si>
    <t>Paridad (Bs./$):</t>
  </si>
  <si>
    <t>Compras</t>
  </si>
  <si>
    <t>COMERCIT</t>
  </si>
  <si>
    <t>PRESUPUESTO COSTO DE OPERACIÓN</t>
  </si>
  <si>
    <t>PRESUPUESTO OTROS COSTOS Y GASTOS</t>
  </si>
  <si>
    <t>PRESUPUESTO DE INVERSIONES</t>
  </si>
  <si>
    <t>TOTAL DIVISAS PURAS</t>
  </si>
  <si>
    <t>PRESUPUESTO CONSOLIDADO</t>
  </si>
  <si>
    <t>NEGOCIO / FILIAL</t>
  </si>
  <si>
    <t>Evento Presupuestario:</t>
  </si>
  <si>
    <t>Revisado 2016</t>
  </si>
  <si>
    <t>CB</t>
  </si>
  <si>
    <t>SOMETIDO</t>
  </si>
  <si>
    <t>Original 2017</t>
  </si>
  <si>
    <t>APROBADO / REVISADO</t>
  </si>
  <si>
    <t>Sometido</t>
  </si>
  <si>
    <t>Presupuesto Aprobado</t>
  </si>
  <si>
    <t>Evento Sometido</t>
  </si>
  <si>
    <t>Evento Aprobado</t>
  </si>
  <si>
    <t>Paridad ES</t>
  </si>
  <si>
    <t>Paridad EA</t>
  </si>
  <si>
    <t>Sometido 2016</t>
  </si>
  <si>
    <t>TOTAL</t>
  </si>
  <si>
    <t>Sometido 2017</t>
  </si>
  <si>
    <t>VARIACIÓN RELATIVA</t>
  </si>
  <si>
    <t>VARIACIÓN ABSOLUTA</t>
  </si>
  <si>
    <t>Original 2018</t>
  </si>
  <si>
    <t>Revisado 2018</t>
  </si>
  <si>
    <t>Sometido 2018</t>
  </si>
  <si>
    <t>Revisado I Sometido 2018</t>
  </si>
  <si>
    <t xml:space="preserve">         </t>
  </si>
  <si>
    <t>Paridad (Bs.S/$):</t>
  </si>
  <si>
    <t>Bs.S Eq.</t>
  </si>
  <si>
    <t>Bs.S Puros</t>
  </si>
  <si>
    <t>Revisado 2017</t>
  </si>
  <si>
    <t>Revisado II 2018</t>
  </si>
  <si>
    <t>PDVSA NAVAL</t>
  </si>
  <si>
    <t xml:space="preserve">   </t>
  </si>
  <si>
    <t>Revisado II Sometido 2018</t>
  </si>
  <si>
    <t>Tasa</t>
  </si>
  <si>
    <t>Moneda</t>
  </si>
  <si>
    <t>VEF</t>
  </si>
  <si>
    <t>VES</t>
  </si>
  <si>
    <t>AUTOGAS</t>
  </si>
  <si>
    <t>Original 2019</t>
  </si>
  <si>
    <t>Original Sometido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</si>
</sst>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_ * #,##0.0000_ ;_ * \-#,##0.0000_ ;_ * &quot;-&quot;??_ ;_ @_ 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b/>
      <sz val="8"/>
      <color theme="0" tint="-0.34998626667073579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10" fontId="3" fillId="5" borderId="1" xfId="1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4" fontId="1" fillId="6" borderId="0" xfId="0" applyNumberFormat="1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0" fontId="1" fillId="4" borderId="1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5" Type="http://schemas.openxmlformats.org/officeDocument/2006/relationships/image" Target="../media/image5.emf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gif"/><Relationship Id="rId2" Type="http://schemas.openxmlformats.org/officeDocument/2006/relationships/image" Target="../media/image19.emf"/><Relationship Id="rId1" Type="http://schemas.openxmlformats.org/officeDocument/2006/relationships/image" Target="../media/image18.gif"/><Relationship Id="rId6" Type="http://schemas.openxmlformats.org/officeDocument/2006/relationships/image" Target="../media/image23.gif"/><Relationship Id="rId5" Type="http://schemas.openxmlformats.org/officeDocument/2006/relationships/image" Target="../media/image22.gif"/><Relationship Id="rId4" Type="http://schemas.openxmlformats.org/officeDocument/2006/relationships/image" Target="../media/image2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gif"/><Relationship Id="rId2" Type="http://schemas.openxmlformats.org/officeDocument/2006/relationships/image" Target="../media/image19.emf"/><Relationship Id="rId1" Type="http://schemas.openxmlformats.org/officeDocument/2006/relationships/image" Target="../media/image18.gif"/><Relationship Id="rId6" Type="http://schemas.openxmlformats.org/officeDocument/2006/relationships/image" Target="../media/image23.gif"/><Relationship Id="rId5" Type="http://schemas.openxmlformats.org/officeDocument/2006/relationships/image" Target="../media/image22.gif"/><Relationship Id="rId4" Type="http://schemas.openxmlformats.org/officeDocument/2006/relationships/image" Target="../media/image21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7" Type="http://schemas.openxmlformats.org/officeDocument/2006/relationships/image" Target="../media/image30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6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7" Type="http://schemas.openxmlformats.org/officeDocument/2006/relationships/image" Target="../media/image43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6" Type="http://schemas.openxmlformats.org/officeDocument/2006/relationships/image" Target="../media/image42.emf"/><Relationship Id="rId5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76</xdr:row>
      <xdr:rowOff>0</xdr:rowOff>
    </xdr:from>
    <xdr:to>
      <xdr:col>2</xdr:col>
      <xdr:colOff>16621</xdr:colOff>
      <xdr:row>86</xdr:row>
      <xdr:rowOff>85725</xdr:rowOff>
    </xdr:to>
    <xdr:pic>
      <xdr:nvPicPr>
        <xdr:cNvPr id="11" name="10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858500"/>
          <a:ext cx="3721846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2</xdr:col>
      <xdr:colOff>19050</xdr:colOff>
      <xdr:row>55</xdr:row>
      <xdr:rowOff>116516</xdr:rowOff>
    </xdr:to>
    <xdr:pic>
      <xdr:nvPicPr>
        <xdr:cNvPr id="12" name="11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0"/>
          <a:ext cx="3724275" cy="1688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2</xdr:col>
      <xdr:colOff>28575</xdr:colOff>
      <xdr:row>26</xdr:row>
      <xdr:rowOff>121444</xdr:rowOff>
    </xdr:to>
    <xdr:pic>
      <xdr:nvPicPr>
        <xdr:cNvPr id="13" name="12 Imagen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0"/>
          <a:ext cx="3733800" cy="1550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3686175</xdr:colOff>
      <xdr:row>8</xdr:row>
      <xdr:rowOff>80691</xdr:rowOff>
    </xdr:to>
    <xdr:pic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85750"/>
          <a:ext cx="3686175" cy="93794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190</xdr:row>
      <xdr:rowOff>0</xdr:rowOff>
    </xdr:from>
    <xdr:to>
      <xdr:col>3</xdr:col>
      <xdr:colOff>104775</xdr:colOff>
      <xdr:row>203</xdr:row>
      <xdr:rowOff>99833</xdr:rowOff>
    </xdr:to>
    <xdr:pic>
      <xdr:nvPicPr>
        <xdr:cNvPr id="16" name="15 Imagen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146250"/>
          <a:ext cx="3924300" cy="19572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2</xdr:col>
      <xdr:colOff>28575</xdr:colOff>
      <xdr:row>115</xdr:row>
      <xdr:rowOff>67217</xdr:rowOff>
    </xdr:to>
    <xdr:pic>
      <xdr:nvPicPr>
        <xdr:cNvPr id="17" name="16 Imagen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3144500"/>
          <a:ext cx="3733800" cy="3353342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155</xdr:row>
      <xdr:rowOff>0</xdr:rowOff>
    </xdr:from>
    <xdr:to>
      <xdr:col>2</xdr:col>
      <xdr:colOff>9526</xdr:colOff>
      <xdr:row>186</xdr:row>
      <xdr:rowOff>74677</xdr:rowOff>
    </xdr:to>
    <xdr:pic>
      <xdr:nvPicPr>
        <xdr:cNvPr id="18" name="17 Imagen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22145625"/>
          <a:ext cx="3714750" cy="4503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119</xdr:row>
      <xdr:rowOff>19050</xdr:rowOff>
    </xdr:from>
    <xdr:to>
      <xdr:col>2</xdr:col>
      <xdr:colOff>34943</xdr:colOff>
      <xdr:row>142</xdr:row>
      <xdr:rowOff>47625</xdr:rowOff>
    </xdr:to>
    <xdr:pic>
      <xdr:nvPicPr>
        <xdr:cNvPr id="10" name="9 Imagen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21175"/>
          <a:ext cx="3740168" cy="331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</xdr:row>
      <xdr:rowOff>19049</xdr:rowOff>
    </xdr:from>
    <xdr:to>
      <xdr:col>2</xdr:col>
      <xdr:colOff>0</xdr:colOff>
      <xdr:row>13</xdr:row>
      <xdr:rowOff>73089</xdr:rowOff>
    </xdr:to>
    <xdr:pic>
      <xdr:nvPicPr>
        <xdr:cNvPr id="8" name="7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304799"/>
          <a:ext cx="3676650" cy="162566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119</xdr:row>
      <xdr:rowOff>0</xdr:rowOff>
    </xdr:from>
    <xdr:to>
      <xdr:col>1</xdr:col>
      <xdr:colOff>3705224</xdr:colOff>
      <xdr:row>146</xdr:row>
      <xdr:rowOff>36001</xdr:rowOff>
    </xdr:to>
    <xdr:pic>
      <xdr:nvPicPr>
        <xdr:cNvPr id="9" name="8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02125"/>
          <a:ext cx="3705224" cy="389362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</xdr:col>
      <xdr:colOff>19050</xdr:colOff>
      <xdr:row>76</xdr:row>
      <xdr:rowOff>19050</xdr:rowOff>
    </xdr:from>
    <xdr:to>
      <xdr:col>1</xdr:col>
      <xdr:colOff>3695700</xdr:colOff>
      <xdr:row>86</xdr:row>
      <xdr:rowOff>114300</xdr:rowOff>
    </xdr:to>
    <xdr:pic>
      <xdr:nvPicPr>
        <xdr:cNvPr id="10" name="9 Imagen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877550"/>
          <a:ext cx="3676650" cy="152400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16</xdr:row>
      <xdr:rowOff>1</xdr:rowOff>
    </xdr:from>
    <xdr:to>
      <xdr:col>2</xdr:col>
      <xdr:colOff>0</xdr:colOff>
      <xdr:row>40</xdr:row>
      <xdr:rowOff>124303</xdr:rowOff>
    </xdr:to>
    <xdr:pic>
      <xdr:nvPicPr>
        <xdr:cNvPr id="12" name="11 Imagen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1"/>
          <a:ext cx="3705225" cy="3553302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190</xdr:row>
      <xdr:rowOff>0</xdr:rowOff>
    </xdr:from>
    <xdr:to>
      <xdr:col>1</xdr:col>
      <xdr:colOff>3695700</xdr:colOff>
      <xdr:row>223</xdr:row>
      <xdr:rowOff>0</xdr:rowOff>
    </xdr:to>
    <xdr:pic>
      <xdr:nvPicPr>
        <xdr:cNvPr id="13" name="12 Imagen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574625"/>
          <a:ext cx="3695700" cy="471487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</xdr:col>
      <xdr:colOff>19050</xdr:colOff>
      <xdr:row>44</xdr:row>
      <xdr:rowOff>19050</xdr:rowOff>
    </xdr:from>
    <xdr:to>
      <xdr:col>2</xdr:col>
      <xdr:colOff>0</xdr:colOff>
      <xdr:row>59</xdr:row>
      <xdr:rowOff>29933</xdr:rowOff>
    </xdr:to>
    <xdr:pic>
      <xdr:nvPicPr>
        <xdr:cNvPr id="14" name="13 Imagen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305550"/>
          <a:ext cx="3686175" cy="215400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155</xdr:row>
      <xdr:rowOff>0</xdr:rowOff>
    </xdr:from>
    <xdr:to>
      <xdr:col>1</xdr:col>
      <xdr:colOff>3695700</xdr:colOff>
      <xdr:row>183</xdr:row>
      <xdr:rowOff>89992</xdr:rowOff>
    </xdr:to>
    <xdr:pic>
      <xdr:nvPicPr>
        <xdr:cNvPr id="15" name="14 Imagen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145625"/>
          <a:ext cx="3695700" cy="4090492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</xdr:col>
      <xdr:colOff>19050</xdr:colOff>
      <xdr:row>92</xdr:row>
      <xdr:rowOff>19050</xdr:rowOff>
    </xdr:from>
    <xdr:to>
      <xdr:col>1</xdr:col>
      <xdr:colOff>3692211</xdr:colOff>
      <xdr:row>116</xdr:row>
      <xdr:rowOff>114300</xdr:rowOff>
    </xdr:to>
    <xdr:pic>
      <xdr:nvPicPr>
        <xdr:cNvPr id="16" name="15 Imagen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163550"/>
          <a:ext cx="3673161" cy="352425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224</xdr:row>
      <xdr:rowOff>28575</xdr:rowOff>
    </xdr:from>
    <xdr:to>
      <xdr:col>1</xdr:col>
      <xdr:colOff>3686175</xdr:colOff>
      <xdr:row>238</xdr:row>
      <xdr:rowOff>66763</xdr:rowOff>
    </xdr:to>
    <xdr:pic>
      <xdr:nvPicPr>
        <xdr:cNvPr id="17" name="16 Imagen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032575"/>
          <a:ext cx="3686175" cy="2038438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92</xdr:row>
      <xdr:rowOff>0</xdr:rowOff>
    </xdr:from>
    <xdr:to>
      <xdr:col>1</xdr:col>
      <xdr:colOff>3695700</xdr:colOff>
      <xdr:row>110</xdr:row>
      <xdr:rowOff>9255</xdr:rowOff>
    </xdr:to>
    <xdr:pic>
      <xdr:nvPicPr>
        <xdr:cNvPr id="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44500"/>
          <a:ext cx="3695700" cy="258100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119</xdr:row>
      <xdr:rowOff>0</xdr:rowOff>
    </xdr:from>
    <xdr:to>
      <xdr:col>1</xdr:col>
      <xdr:colOff>3686175</xdr:colOff>
      <xdr:row>141</xdr:row>
      <xdr:rowOff>18382</xdr:rowOff>
    </xdr:to>
    <xdr:pic>
      <xdr:nvPicPr>
        <xdr:cNvPr id="10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02125"/>
          <a:ext cx="3686175" cy="3161632"/>
        </a:xfrm>
        <a:prstGeom prst="rect">
          <a:avLst/>
        </a:prstGeom>
        <a:solidFill>
          <a:schemeClr val="bg1"/>
        </a:solidFill>
        <a:ln>
          <a:noFill/>
        </a:ln>
        <a:effectLst/>
        <a:extLst/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2</xdr:col>
      <xdr:colOff>0</xdr:colOff>
      <xdr:row>55</xdr:row>
      <xdr:rowOff>39342</xdr:rowOff>
    </xdr:to>
    <xdr:pic>
      <xdr:nvPicPr>
        <xdr:cNvPr id="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0"/>
          <a:ext cx="3705225" cy="161096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3676650</xdr:colOff>
      <xdr:row>37</xdr:row>
      <xdr:rowOff>85725</xdr:rowOff>
    </xdr:to>
    <xdr:pic>
      <xdr:nvPicPr>
        <xdr:cNvPr id="5" name="Picture 3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9138"/>
        <a:stretch/>
      </xdr:blipFill>
      <xdr:spPr bwMode="auto">
        <a:xfrm>
          <a:off x="0" y="2286000"/>
          <a:ext cx="3676650" cy="3086100"/>
        </a:xfrm>
        <a:prstGeom prst="rect">
          <a:avLst/>
        </a:prstGeom>
        <a:solidFill>
          <a:schemeClr val="bg1"/>
        </a:solidFill>
        <a:ln>
          <a:noFill/>
        </a:ln>
        <a:effectLst/>
        <a:extLst/>
      </xdr:spPr>
    </xdr:pic>
    <xdr:clientData/>
  </xdr:twoCellAnchor>
  <xdr:twoCellAnchor editAs="oneCell">
    <xdr:from>
      <xdr:col>0</xdr:col>
      <xdr:colOff>0</xdr:colOff>
      <xdr:row>76</xdr:row>
      <xdr:rowOff>17566</xdr:rowOff>
    </xdr:from>
    <xdr:to>
      <xdr:col>1</xdr:col>
      <xdr:colOff>3695701</xdr:colOff>
      <xdr:row>87</xdr:row>
      <xdr:rowOff>114301</xdr:rowOff>
    </xdr:to>
    <xdr:pic>
      <xdr:nvPicPr>
        <xdr:cNvPr id="6" name="Picture 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142"/>
        <a:stretch/>
      </xdr:blipFill>
      <xdr:spPr bwMode="auto">
        <a:xfrm>
          <a:off x="0" y="10876066"/>
          <a:ext cx="3695701" cy="166836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155</xdr:row>
      <xdr:rowOff>0</xdr:rowOff>
    </xdr:from>
    <xdr:to>
      <xdr:col>1</xdr:col>
      <xdr:colOff>3695700</xdr:colOff>
      <xdr:row>176</xdr:row>
      <xdr:rowOff>89598</xdr:rowOff>
    </xdr:to>
    <xdr:pic>
      <xdr:nvPicPr>
        <xdr:cNvPr id="7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145625"/>
          <a:ext cx="3695700" cy="308997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0</xdr:rowOff>
    </xdr:from>
    <xdr:to>
      <xdr:col>1</xdr:col>
      <xdr:colOff>3695700</xdr:colOff>
      <xdr:row>55</xdr:row>
      <xdr:rowOff>9255</xdr:rowOff>
    </xdr:to>
    <xdr:pic>
      <xdr:nvPicPr>
        <xdr:cNvPr id="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86375"/>
          <a:ext cx="3695700" cy="258100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3686175</xdr:colOff>
      <xdr:row>24</xdr:row>
      <xdr:rowOff>18382</xdr:rowOff>
    </xdr:to>
    <xdr:pic>
      <xdr:nvPicPr>
        <xdr:cNvPr id="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0"/>
          <a:ext cx="3686175" cy="3161632"/>
        </a:xfrm>
        <a:prstGeom prst="rect">
          <a:avLst/>
        </a:prstGeom>
        <a:solidFill>
          <a:schemeClr val="bg1"/>
        </a:solidFill>
        <a:ln>
          <a:noFill/>
        </a:ln>
        <a:effectLst/>
        <a:extLst/>
      </xdr:spPr>
    </xdr:pic>
    <xdr:clientData/>
  </xdr:twoCellAnchor>
  <xdr:twoCellAnchor editAs="oneCell">
    <xdr:from>
      <xdr:col>0</xdr:col>
      <xdr:colOff>0</xdr:colOff>
      <xdr:row>118</xdr:row>
      <xdr:rowOff>0</xdr:rowOff>
    </xdr:from>
    <xdr:to>
      <xdr:col>2</xdr:col>
      <xdr:colOff>0</xdr:colOff>
      <xdr:row>129</xdr:row>
      <xdr:rowOff>39342</xdr:rowOff>
    </xdr:to>
    <xdr:pic>
      <xdr:nvPicPr>
        <xdr:cNvPr id="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859250"/>
          <a:ext cx="3705225" cy="161096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</xdr:col>
      <xdr:colOff>28575</xdr:colOff>
      <xdr:row>92</xdr:row>
      <xdr:rowOff>19050</xdr:rowOff>
    </xdr:from>
    <xdr:to>
      <xdr:col>2</xdr:col>
      <xdr:colOff>0</xdr:colOff>
      <xdr:row>113</xdr:row>
      <xdr:rowOff>104775</xdr:rowOff>
    </xdr:to>
    <xdr:pic>
      <xdr:nvPicPr>
        <xdr:cNvPr id="6" name="Picture 3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9138"/>
        <a:stretch/>
      </xdr:blipFill>
      <xdr:spPr bwMode="auto">
        <a:xfrm>
          <a:off x="28575" y="13163550"/>
          <a:ext cx="3676650" cy="3086100"/>
        </a:xfrm>
        <a:prstGeom prst="rect">
          <a:avLst/>
        </a:prstGeom>
        <a:solidFill>
          <a:schemeClr val="bg1"/>
        </a:solidFill>
        <a:ln>
          <a:noFill/>
        </a:ln>
        <a:effectLst/>
        <a:extLst/>
      </xdr:spPr>
    </xdr:pic>
    <xdr:clientData/>
  </xdr:twoCellAnchor>
  <xdr:twoCellAnchor editAs="oneCell">
    <xdr:from>
      <xdr:col>0</xdr:col>
      <xdr:colOff>0</xdr:colOff>
      <xdr:row>147</xdr:row>
      <xdr:rowOff>0</xdr:rowOff>
    </xdr:from>
    <xdr:to>
      <xdr:col>1</xdr:col>
      <xdr:colOff>3695701</xdr:colOff>
      <xdr:row>158</xdr:row>
      <xdr:rowOff>96735</xdr:rowOff>
    </xdr:to>
    <xdr:pic>
      <xdr:nvPicPr>
        <xdr:cNvPr id="10" name="Picture 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142"/>
        <a:stretch/>
      </xdr:blipFill>
      <xdr:spPr bwMode="auto">
        <a:xfrm>
          <a:off x="0" y="21002625"/>
          <a:ext cx="3695701" cy="166836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3695700</xdr:colOff>
      <xdr:row>85</xdr:row>
      <xdr:rowOff>89598</xdr:rowOff>
    </xdr:to>
    <xdr:pic>
      <xdr:nvPicPr>
        <xdr:cNvPr id="1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44000"/>
          <a:ext cx="3695700" cy="308997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92</xdr:row>
      <xdr:rowOff>1</xdr:rowOff>
    </xdr:from>
    <xdr:to>
      <xdr:col>1</xdr:col>
      <xdr:colOff>3686175</xdr:colOff>
      <xdr:row>113</xdr:row>
      <xdr:rowOff>10760</xdr:rowOff>
    </xdr:to>
    <xdr:pic>
      <xdr:nvPicPr>
        <xdr:cNvPr id="8" name="7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44501"/>
          <a:ext cx="3686175" cy="3011134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119</xdr:row>
      <xdr:rowOff>1</xdr:rowOff>
    </xdr:from>
    <xdr:to>
      <xdr:col>1</xdr:col>
      <xdr:colOff>3686175</xdr:colOff>
      <xdr:row>146</xdr:row>
      <xdr:rowOff>32883</xdr:rowOff>
    </xdr:to>
    <xdr:pic>
      <xdr:nvPicPr>
        <xdr:cNvPr id="9" name="8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02126"/>
          <a:ext cx="3686175" cy="3890507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3695700</xdr:colOff>
      <xdr:row>43</xdr:row>
      <xdr:rowOff>38100</xdr:rowOff>
    </xdr:to>
    <xdr:pic>
      <xdr:nvPicPr>
        <xdr:cNvPr id="11" name="10 Imagen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0"/>
          <a:ext cx="3695700" cy="389572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3676650</xdr:colOff>
      <xdr:row>15</xdr:row>
      <xdr:rowOff>9525</xdr:rowOff>
    </xdr:to>
    <xdr:pic>
      <xdr:nvPicPr>
        <xdr:cNvPr id="12" name="11 Imagen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0"/>
          <a:ext cx="3676650" cy="186690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3686175</xdr:colOff>
      <xdr:row>75</xdr:row>
      <xdr:rowOff>38100</xdr:rowOff>
    </xdr:to>
    <xdr:pic>
      <xdr:nvPicPr>
        <xdr:cNvPr id="13" name="12 Imagen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0"/>
          <a:ext cx="3686175" cy="446722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</xdr:col>
      <xdr:colOff>3705224</xdr:colOff>
      <xdr:row>91</xdr:row>
      <xdr:rowOff>38100</xdr:rowOff>
    </xdr:to>
    <xdr:pic>
      <xdr:nvPicPr>
        <xdr:cNvPr id="7" name="6 Imagen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858500"/>
          <a:ext cx="3705224" cy="218122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155</xdr:row>
      <xdr:rowOff>0</xdr:rowOff>
    </xdr:from>
    <xdr:to>
      <xdr:col>1</xdr:col>
      <xdr:colOff>3702192</xdr:colOff>
      <xdr:row>180</xdr:row>
      <xdr:rowOff>19050</xdr:rowOff>
    </xdr:to>
    <xdr:pic>
      <xdr:nvPicPr>
        <xdr:cNvPr id="10" name="9 Imagen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145625"/>
          <a:ext cx="3702192" cy="359092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2</xdr:row>
      <xdr:rowOff>28575</xdr:rowOff>
    </xdr:from>
    <xdr:to>
      <xdr:col>1</xdr:col>
      <xdr:colOff>3657150</xdr:colOff>
      <xdr:row>35</xdr:row>
      <xdr:rowOff>17077</xdr:rowOff>
    </xdr:to>
    <xdr:pic>
      <xdr:nvPicPr>
        <xdr:cNvPr id="11" name="10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314325"/>
          <a:ext cx="3600000" cy="47033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</xdr:colOff>
      <xdr:row>37</xdr:row>
      <xdr:rowOff>9525</xdr:rowOff>
    </xdr:from>
    <xdr:to>
      <xdr:col>1</xdr:col>
      <xdr:colOff>3657150</xdr:colOff>
      <xdr:row>62</xdr:row>
      <xdr:rowOff>74291</xdr:rowOff>
    </xdr:to>
    <xdr:pic>
      <xdr:nvPicPr>
        <xdr:cNvPr id="13" name="12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5295900"/>
          <a:ext cx="3600000" cy="36366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47625</xdr:colOff>
      <xdr:row>64</xdr:row>
      <xdr:rowOff>38100</xdr:rowOff>
    </xdr:from>
    <xdr:to>
      <xdr:col>1</xdr:col>
      <xdr:colOff>3647625</xdr:colOff>
      <xdr:row>90</xdr:row>
      <xdr:rowOff>44594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9182100"/>
          <a:ext cx="3600000" cy="3721244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</xdr:col>
      <xdr:colOff>57150</xdr:colOff>
      <xdr:row>92</xdr:row>
      <xdr:rowOff>47625</xdr:rowOff>
    </xdr:from>
    <xdr:to>
      <xdr:col>1</xdr:col>
      <xdr:colOff>3657150</xdr:colOff>
      <xdr:row>116</xdr:row>
      <xdr:rowOff>111016</xdr:rowOff>
    </xdr:to>
    <xdr:pic>
      <xdr:nvPicPr>
        <xdr:cNvPr id="5" name="4 Imagen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3192125"/>
          <a:ext cx="3600000" cy="3492391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</xdr:col>
      <xdr:colOff>66675</xdr:colOff>
      <xdr:row>118</xdr:row>
      <xdr:rowOff>38100</xdr:rowOff>
    </xdr:from>
    <xdr:to>
      <xdr:col>1</xdr:col>
      <xdr:colOff>3666675</xdr:colOff>
      <xdr:row>145</xdr:row>
      <xdr:rowOff>142432</xdr:rowOff>
    </xdr:to>
    <xdr:pic>
      <xdr:nvPicPr>
        <xdr:cNvPr id="6" name="5 Imagen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6897350"/>
          <a:ext cx="3600000" cy="3961957"/>
        </a:xfrm>
        <a:prstGeom prst="rect">
          <a:avLst/>
        </a:prstGeom>
        <a:solidFill>
          <a:schemeClr val="bg1"/>
        </a:solidFill>
        <a:extLst/>
      </xdr:spPr>
    </xdr:pic>
    <xdr:clientData/>
  </xdr:twoCellAnchor>
  <xdr:twoCellAnchor editAs="oneCell">
    <xdr:from>
      <xdr:col>1</xdr:col>
      <xdr:colOff>57150</xdr:colOff>
      <xdr:row>147</xdr:row>
      <xdr:rowOff>28575</xdr:rowOff>
    </xdr:from>
    <xdr:to>
      <xdr:col>1</xdr:col>
      <xdr:colOff>3657150</xdr:colOff>
      <xdr:row>160</xdr:row>
      <xdr:rowOff>93816</xdr:rowOff>
    </xdr:to>
    <xdr:pic>
      <xdr:nvPicPr>
        <xdr:cNvPr id="7" name="6 Imagen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21031200"/>
          <a:ext cx="3600000" cy="1922616"/>
        </a:xfrm>
        <a:prstGeom prst="rect">
          <a:avLst/>
        </a:prstGeom>
        <a:solidFill>
          <a:schemeClr val="bg1"/>
        </a:solidFill>
        <a:ex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2</xdr:row>
      <xdr:rowOff>38100</xdr:rowOff>
    </xdr:from>
    <xdr:to>
      <xdr:col>1</xdr:col>
      <xdr:colOff>3647625</xdr:colOff>
      <xdr:row>14</xdr:row>
      <xdr:rowOff>123600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323850"/>
          <a:ext cx="3600000" cy="180000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</xdr:col>
      <xdr:colOff>28575</xdr:colOff>
      <xdr:row>16</xdr:row>
      <xdr:rowOff>38101</xdr:rowOff>
    </xdr:from>
    <xdr:to>
      <xdr:col>1</xdr:col>
      <xdr:colOff>3628575</xdr:colOff>
      <xdr:row>42</xdr:row>
      <xdr:rowOff>108918</xdr:rowOff>
    </xdr:to>
    <xdr:pic>
      <xdr:nvPicPr>
        <xdr:cNvPr id="5" name="4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324101"/>
          <a:ext cx="3600000" cy="3785567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</xdr:col>
      <xdr:colOff>57150</xdr:colOff>
      <xdr:row>44</xdr:row>
      <xdr:rowOff>47625</xdr:rowOff>
    </xdr:from>
    <xdr:to>
      <xdr:col>1</xdr:col>
      <xdr:colOff>3657150</xdr:colOff>
      <xdr:row>74</xdr:row>
      <xdr:rowOff>59049</xdr:rowOff>
    </xdr:to>
    <xdr:pic>
      <xdr:nvPicPr>
        <xdr:cNvPr id="6" name="5 Imagen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6334125"/>
          <a:ext cx="3600000" cy="4297674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</xdr:col>
      <xdr:colOff>47625</xdr:colOff>
      <xdr:row>76</xdr:row>
      <xdr:rowOff>28576</xdr:rowOff>
    </xdr:from>
    <xdr:to>
      <xdr:col>1</xdr:col>
      <xdr:colOff>3647625</xdr:colOff>
      <xdr:row>90</xdr:row>
      <xdr:rowOff>117445</xdr:rowOff>
    </xdr:to>
    <xdr:pic>
      <xdr:nvPicPr>
        <xdr:cNvPr id="7" name="6 Imagen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0887076"/>
          <a:ext cx="3600000" cy="2089119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</xdr:col>
      <xdr:colOff>57150</xdr:colOff>
      <xdr:row>92</xdr:row>
      <xdr:rowOff>57150</xdr:rowOff>
    </xdr:from>
    <xdr:to>
      <xdr:col>1</xdr:col>
      <xdr:colOff>3657150</xdr:colOff>
      <xdr:row>117</xdr:row>
      <xdr:rowOff>121916</xdr:rowOff>
    </xdr:to>
    <xdr:pic>
      <xdr:nvPicPr>
        <xdr:cNvPr id="8" name="7 Imagen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3201650"/>
          <a:ext cx="3600000" cy="3636641"/>
        </a:xfrm>
        <a:prstGeom prst="rect">
          <a:avLst/>
        </a:prstGeom>
        <a:solidFill>
          <a:schemeClr val="bg1"/>
        </a:solidFill>
        <a:extLst/>
      </xdr:spPr>
    </xdr:pic>
    <xdr:clientData/>
  </xdr:twoCellAnchor>
  <xdr:twoCellAnchor editAs="oneCell">
    <xdr:from>
      <xdr:col>1</xdr:col>
      <xdr:colOff>47625</xdr:colOff>
      <xdr:row>119</xdr:row>
      <xdr:rowOff>38100</xdr:rowOff>
    </xdr:from>
    <xdr:to>
      <xdr:col>1</xdr:col>
      <xdr:colOff>3647625</xdr:colOff>
      <xdr:row>153</xdr:row>
      <xdr:rowOff>14636</xdr:rowOff>
    </xdr:to>
    <xdr:pic>
      <xdr:nvPicPr>
        <xdr:cNvPr id="9" name="8 Imagen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7040225"/>
          <a:ext cx="3600000" cy="4834286"/>
        </a:xfrm>
        <a:prstGeom prst="rect">
          <a:avLst/>
        </a:prstGeom>
        <a:solidFill>
          <a:schemeClr val="bg1"/>
        </a:solidFill>
        <a:extLst/>
      </xdr:spPr>
    </xdr:pic>
    <xdr:clientData/>
  </xdr:twoCellAnchor>
  <xdr:twoCellAnchor editAs="oneCell">
    <xdr:from>
      <xdr:col>1</xdr:col>
      <xdr:colOff>47625</xdr:colOff>
      <xdr:row>155</xdr:row>
      <xdr:rowOff>38100</xdr:rowOff>
    </xdr:from>
    <xdr:to>
      <xdr:col>1</xdr:col>
      <xdr:colOff>3647625</xdr:colOff>
      <xdr:row>181</xdr:row>
      <xdr:rowOff>44594</xdr:rowOff>
    </xdr:to>
    <xdr:pic>
      <xdr:nvPicPr>
        <xdr:cNvPr id="10" name="9 Imagen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2183725"/>
          <a:ext cx="3600000" cy="3721244"/>
        </a:xfrm>
        <a:prstGeom prst="rect">
          <a:avLst/>
        </a:prstGeom>
        <a:solidFill>
          <a:schemeClr val="bg1"/>
        </a:solidFill>
        <a:extLst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/>
  </sheetPr>
  <dimension ref="A1:Q55"/>
  <sheetViews>
    <sheetView showGridLines="0" view="pageBreakPreview" zoomScaleNormal="100" zoomScaleSheetLayoutView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53" sqref="E53"/>
    </sheetView>
  </sheetViews>
  <sheetFormatPr baseColWidth="10" defaultRowHeight="11.25" x14ac:dyDescent="0.25"/>
  <cols>
    <col min="1" max="1" width="17.5703125" style="1" bestFit="1" customWidth="1"/>
    <col min="2" max="17" width="17.7109375" style="1" customWidth="1"/>
    <col min="18" max="16384" width="11.42578125" style="1"/>
  </cols>
  <sheetData>
    <row r="1" spans="1:17" x14ac:dyDescent="0.25">
      <c r="A1" s="11" t="s">
        <v>28</v>
      </c>
    </row>
    <row r="2" spans="1:17" x14ac:dyDescent="0.25">
      <c r="A2" s="5" t="s">
        <v>25</v>
      </c>
      <c r="B2" s="1" t="s">
        <v>61</v>
      </c>
    </row>
    <row r="3" spans="1:17" x14ac:dyDescent="0.25">
      <c r="A3" s="5" t="s">
        <v>16</v>
      </c>
      <c r="B3" s="23">
        <f>IFERROR(VLOOKUP(B2,BD!C:D,2,0),0)</f>
        <v>77.2</v>
      </c>
      <c r="E3" s="9" t="s">
        <v>13</v>
      </c>
      <c r="I3" s="9" t="s">
        <v>14</v>
      </c>
      <c r="M3" s="9" t="s">
        <v>15</v>
      </c>
    </row>
    <row r="4" spans="1:17" ht="20.100000000000001" customHeight="1" x14ac:dyDescent="0.25">
      <c r="A4" s="34" t="s">
        <v>24</v>
      </c>
      <c r="B4" s="28" t="s">
        <v>19</v>
      </c>
      <c r="C4" s="29"/>
      <c r="D4" s="29"/>
      <c r="E4" s="30"/>
      <c r="F4" s="28" t="s">
        <v>20</v>
      </c>
      <c r="G4" s="29"/>
      <c r="H4" s="29"/>
      <c r="I4" s="30"/>
      <c r="J4" s="28" t="s">
        <v>21</v>
      </c>
      <c r="K4" s="29"/>
      <c r="L4" s="29"/>
      <c r="M4" s="30"/>
      <c r="N4" s="28" t="s">
        <v>22</v>
      </c>
      <c r="O4" s="29" t="s">
        <v>23</v>
      </c>
      <c r="P4" s="29"/>
      <c r="Q4" s="30"/>
    </row>
    <row r="5" spans="1:17" ht="20.100000000000001" customHeight="1" x14ac:dyDescent="0.25">
      <c r="A5" s="35"/>
      <c r="B5" s="8" t="s">
        <v>5</v>
      </c>
      <c r="C5" s="8" t="s">
        <v>6</v>
      </c>
      <c r="D5" s="8" t="s">
        <v>7</v>
      </c>
      <c r="E5" s="8" t="s">
        <v>8</v>
      </c>
      <c r="F5" s="8" t="s">
        <v>5</v>
      </c>
      <c r="G5" s="8" t="s">
        <v>6</v>
      </c>
      <c r="H5" s="8" t="s">
        <v>7</v>
      </c>
      <c r="I5" s="8" t="s">
        <v>8</v>
      </c>
      <c r="J5" s="8" t="s">
        <v>5</v>
      </c>
      <c r="K5" s="8" t="s">
        <v>6</v>
      </c>
      <c r="L5" s="8" t="s">
        <v>7</v>
      </c>
      <c r="M5" s="8" t="s">
        <v>8</v>
      </c>
      <c r="N5" s="8" t="s">
        <v>5</v>
      </c>
      <c r="O5" s="8" t="s">
        <v>6</v>
      </c>
      <c r="P5" s="8" t="s">
        <v>7</v>
      </c>
      <c r="Q5" s="8" t="s">
        <v>8</v>
      </c>
    </row>
    <row r="6" spans="1:17" ht="20.100000000000001" customHeight="1" x14ac:dyDescent="0.25">
      <c r="A6" s="6" t="s">
        <v>2</v>
      </c>
      <c r="B6" s="7">
        <f>IFERROR(VLOOKUP($A6&amp;" - "&amp;$E$3&amp;" - "&amp;$B$2,Sometido!$1:$1048576,COLUMN('Original 2017'!E:E),0),0)</f>
        <v>127341588317.94511</v>
      </c>
      <c r="C6" s="7">
        <f>IF($B$3=0,0,B6/$B$3)</f>
        <v>1649502439.3516207</v>
      </c>
      <c r="D6" s="7">
        <f>B6-E6*$B$3</f>
        <v>104708161649.61165</v>
      </c>
      <c r="E6" s="7">
        <f>IFERROR(VLOOKUP($A6&amp;" - "&amp;$E$3&amp;" - "&amp;$B$2,Sometido!$1:$1048576,COLUMN('Original 2017'!H:H),0),0)</f>
        <v>293179101.92141795</v>
      </c>
      <c r="F6" s="7">
        <f>IFERROR(VLOOKUP($A6&amp;" - "&amp;$I$3&amp;" - "&amp;$B$2,Sometido!$1:$1048576,COLUMN('Original 2017'!E:E),0),0)</f>
        <v>2352623706611.293</v>
      </c>
      <c r="G6" s="7">
        <f>IF($B$3=0,0,F6/$B$3)</f>
        <v>30474400344.705868</v>
      </c>
      <c r="H6" s="7">
        <f>F6-I6*$B$3</f>
        <v>57938254691.515625</v>
      </c>
      <c r="I6" s="7">
        <f>IFERROR(VLOOKUP($A6&amp;" - "&amp;$I$3&amp;" - "&amp;$B$2,Sometido!$1:$1048576,COLUMN('Original 2017'!H:H),0),0)</f>
        <v>29723904817.613693</v>
      </c>
      <c r="J6" s="7">
        <f>IFERROR(VLOOKUP($A6&amp;" - "&amp;$M$3&amp;" - "&amp;$B$2,Sometido!$1:$1048576,COLUMN('Original 2017'!E:E),0),0)</f>
        <v>0</v>
      </c>
      <c r="K6" s="7">
        <f t="shared" ref="K6:K12" si="0">IF($B$3=0,0,J6/$B$3)</f>
        <v>0</v>
      </c>
      <c r="L6" s="7">
        <f>J6-M6*$B$3</f>
        <v>0</v>
      </c>
      <c r="M6" s="7">
        <f>IFERROR(VLOOKUP($A6&amp;" - "&amp;$M$3&amp;" - "&amp;$B$2,Sometido!$1:$1048576,COLUMN('Original 2017'!H:H),0),0)</f>
        <v>0</v>
      </c>
      <c r="N6" s="7">
        <f>B6+F6+J6</f>
        <v>2479965294929.2383</v>
      </c>
      <c r="O6" s="7">
        <f>N6/$B$3</f>
        <v>32123902784.057491</v>
      </c>
      <c r="P6" s="7">
        <f>N6-Q6*$B$3</f>
        <v>162646416341.12744</v>
      </c>
      <c r="Q6" s="7">
        <f>E6+I6+M6</f>
        <v>30017083919.53511</v>
      </c>
    </row>
    <row r="7" spans="1:17" ht="20.100000000000001" customHeight="1" x14ac:dyDescent="0.25">
      <c r="A7" s="13" t="s">
        <v>11</v>
      </c>
      <c r="B7" s="14">
        <f>IFERROR(VLOOKUP($A7&amp;" - "&amp;$E$3&amp;" - "&amp;$B$2,Sometido!$1:$1048576,COLUMN('Original 2017'!E:E),0),0)</f>
        <v>36457823476.437996</v>
      </c>
      <c r="C7" s="14">
        <f t="shared" ref="C7:C12" si="1">IF($B$3=0,0,B7/$B$3)</f>
        <v>472251599.43572533</v>
      </c>
      <c r="D7" s="14">
        <f t="shared" ref="D7:D12" si="2">B7-E7*$B$3</f>
        <v>28759286609.629997</v>
      </c>
      <c r="E7" s="14">
        <f>IFERROR(VLOOKUP($A7&amp;" - "&amp;$E$3&amp;" - "&amp;$B$2,Sometido!$1:$1048576,COLUMN('Original 2017'!H:H),0),0)</f>
        <v>99721980.139999986</v>
      </c>
      <c r="F7" s="14">
        <f>IFERROR(VLOOKUP($A7&amp;" - "&amp;$I$3&amp;" - "&amp;$B$2,Sometido!$1:$1048576,COLUMN('Original 2017'!E:E),0),0)</f>
        <v>20310408085.926033</v>
      </c>
      <c r="G7" s="14">
        <f t="shared" ref="G7:G12" si="3">IF($B$3=0,0,F7/$B$3)</f>
        <v>263088187.6415289</v>
      </c>
      <c r="H7" s="14">
        <f t="shared" ref="H7:H12" si="4">F7-I7*$B$3</f>
        <v>15529544973.739597</v>
      </c>
      <c r="I7" s="14">
        <f>IFERROR(VLOOKUP($A7&amp;" - "&amp;$I$3&amp;" - "&amp;$B$2,Sometido!$1:$1048576,COLUMN('Original 2017'!H:H),0),0)</f>
        <v>61928278.655264698</v>
      </c>
      <c r="J7" s="14">
        <f>IFERROR(VLOOKUP($A7&amp;" - "&amp;$M$3&amp;" - "&amp;$B$2,Sometido!$1:$1048576,COLUMN('Original 2017'!E:E),0),0)</f>
        <v>56025670000</v>
      </c>
      <c r="K7" s="14">
        <f t="shared" si="0"/>
        <v>725721113.98963726</v>
      </c>
      <c r="L7" s="14">
        <f t="shared" ref="L7:L12" si="5">J7-M7*$B$3</f>
        <v>38647950000</v>
      </c>
      <c r="M7" s="14">
        <f>IFERROR(VLOOKUP($A7&amp;" - "&amp;$M$3&amp;" - "&amp;$B$2,Sometido!$1:$1048576,COLUMN('Original 2017'!H:H),0),0)</f>
        <v>225100000</v>
      </c>
      <c r="N7" s="14">
        <f t="shared" ref="N7:N12" si="6">B7+F7+J7</f>
        <v>112793901562.36403</v>
      </c>
      <c r="O7" s="14">
        <f t="shared" ref="O7:O12" si="7">N7/$B$3</f>
        <v>1461060901.0668914</v>
      </c>
      <c r="P7" s="14">
        <f t="shared" ref="P7:P12" si="8">N7-Q7*$B$3</f>
        <v>82936781583.369598</v>
      </c>
      <c r="Q7" s="14">
        <f t="shared" ref="Q7:Q12" si="9">E7+I7+M7</f>
        <v>386750258.79526472</v>
      </c>
    </row>
    <row r="8" spans="1:17" ht="20.100000000000001" customHeight="1" x14ac:dyDescent="0.25">
      <c r="A8" s="6" t="s">
        <v>3</v>
      </c>
      <c r="B8" s="7">
        <f>IFERROR(VLOOKUP($A8&amp;" - "&amp;$E$3&amp;" - "&amp;$B$2,Sometido!$1:$1048576,COLUMN('Original 2017'!E:E),0),0)</f>
        <v>3017865557.843648</v>
      </c>
      <c r="C8" s="7">
        <f t="shared" si="1"/>
        <v>39091522.769995436</v>
      </c>
      <c r="D8" s="7">
        <f t="shared" si="2"/>
        <v>1473865557.843648</v>
      </c>
      <c r="E8" s="7">
        <f>IFERROR(VLOOKUP($A8&amp;" - "&amp;$E$3&amp;" - "&amp;$B$2,Sometido!$1:$1048576,COLUMN('Original 2017'!H:H),0),0)</f>
        <v>20000000</v>
      </c>
      <c r="F8" s="7">
        <f>IFERROR(VLOOKUP($A8&amp;" - "&amp;$I$3&amp;" - "&amp;$B$2,Sometido!$1:$1048576,COLUMN('Original 2017'!E:E),0),0)</f>
        <v>-1345607224.6436481</v>
      </c>
      <c r="G8" s="7">
        <f t="shared" si="3"/>
        <v>-17430145.396938447</v>
      </c>
      <c r="H8" s="7">
        <f t="shared" si="4"/>
        <v>-1345607224.6436481</v>
      </c>
      <c r="I8" s="7">
        <f>IFERROR(VLOOKUP($A8&amp;" - "&amp;$I$3&amp;" - "&amp;$B$2,Sometido!$1:$1048576,COLUMN('Original 2017'!H:H),0),0)</f>
        <v>0</v>
      </c>
      <c r="J8" s="7">
        <f>IFERROR(VLOOKUP($A8&amp;" - "&amp;$M$3&amp;" - "&amp;$B$2,Sometido!$1:$1048576,COLUMN('Original 2017'!E:E),0),0)</f>
        <v>8735800000</v>
      </c>
      <c r="K8" s="7">
        <f t="shared" si="0"/>
        <v>113158031.08808289</v>
      </c>
      <c r="L8" s="7">
        <f t="shared" si="5"/>
        <v>3023000000</v>
      </c>
      <c r="M8" s="7">
        <f>IFERROR(VLOOKUP($A8&amp;" - "&amp;$M$3&amp;" - "&amp;$B$2,Sometido!$1:$1048576,COLUMN('Original 2017'!H:H),0),0)</f>
        <v>74000000</v>
      </c>
      <c r="N8" s="7">
        <f t="shared" si="6"/>
        <v>10408058333.200001</v>
      </c>
      <c r="O8" s="7">
        <f t="shared" si="7"/>
        <v>134819408.46113989</v>
      </c>
      <c r="P8" s="7">
        <f t="shared" si="8"/>
        <v>3151258333.2000008</v>
      </c>
      <c r="Q8" s="7">
        <f t="shared" si="9"/>
        <v>94000000</v>
      </c>
    </row>
    <row r="9" spans="1:17" s="12" customFormat="1" ht="20.100000000000001" customHeight="1" x14ac:dyDescent="0.25">
      <c r="A9" s="13" t="s">
        <v>0</v>
      </c>
      <c r="B9" s="14">
        <f>IFERROR(VLOOKUP($A9&amp;" - "&amp;$E$3&amp;" - "&amp;$B$2,Sometido!$1:$1048576,COLUMN('Original 2017'!E:E),0),0)</f>
        <v>53721336152.832008</v>
      </c>
      <c r="C9" s="14">
        <f t="shared" si="1"/>
        <v>695872229.95896387</v>
      </c>
      <c r="D9" s="14">
        <f>B9-E9*$B$3</f>
        <v>11129696811.900002</v>
      </c>
      <c r="E9" s="14">
        <f>IFERROR(VLOOKUP($A9&amp;" - "&amp;$E$3&amp;" - "&amp;$B$2,Sometido!$1:$1048576,COLUMN('Original 2017'!H:H),0),0)</f>
        <v>551705172.81000006</v>
      </c>
      <c r="F9" s="14">
        <f>IFERROR(VLOOKUP($A9&amp;" - "&amp;$I$3&amp;" - "&amp;$B$2,Sometido!$1:$1048576,COLUMN('Original 2017'!E:E),0),0)</f>
        <v>-37486561824.863403</v>
      </c>
      <c r="G9" s="14">
        <f t="shared" si="3"/>
        <v>-485577225.71066582</v>
      </c>
      <c r="H9" s="14">
        <f t="shared" si="4"/>
        <v>-37486561824.863403</v>
      </c>
      <c r="I9" s="14">
        <f>IFERROR(VLOOKUP($A9&amp;" - "&amp;$I$3&amp;" - "&amp;$B$2,Sometido!$1:$1048576,COLUMN('Original 2017'!H:H),0),0)</f>
        <v>0</v>
      </c>
      <c r="J9" s="14">
        <f>IFERROR(VLOOKUP($A9&amp;" - "&amp;$M$3&amp;" - "&amp;$B$2,Sometido!$1:$1048576,COLUMN('Original 2017'!E:E),0),0)</f>
        <v>0</v>
      </c>
      <c r="K9" s="14">
        <f t="shared" si="0"/>
        <v>0</v>
      </c>
      <c r="L9" s="14">
        <f t="shared" si="5"/>
        <v>0</v>
      </c>
      <c r="M9" s="14">
        <f>IFERROR(VLOOKUP($A9&amp;" - "&amp;$M$3&amp;" - "&amp;$B$2,Sometido!$1:$1048576,COLUMN('Original 2017'!H:H),0),0)</f>
        <v>0</v>
      </c>
      <c r="N9" s="14">
        <f t="shared" si="6"/>
        <v>16234774327.968605</v>
      </c>
      <c r="O9" s="14">
        <f t="shared" si="7"/>
        <v>210295004.24829799</v>
      </c>
      <c r="P9" s="14">
        <f t="shared" si="8"/>
        <v>-26356865012.963402</v>
      </c>
      <c r="Q9" s="14">
        <f t="shared" si="9"/>
        <v>551705172.81000006</v>
      </c>
    </row>
    <row r="10" spans="1:17" s="12" customFormat="1" ht="20.100000000000001" customHeight="1" x14ac:dyDescent="0.25">
      <c r="A10" s="6" t="s">
        <v>52</v>
      </c>
      <c r="B10" s="7">
        <f>IFERROR(VLOOKUP($A10&amp;" - "&amp;$E$3&amp;" - "&amp;$B$2,Sometido!$1:$1048576,COLUMN('Original 2017'!E:E),0),0)</f>
        <v>14795338883.230803</v>
      </c>
      <c r="C10" s="7">
        <f t="shared" ref="C10" si="10">IF($B$3=0,0,B10/$B$3)</f>
        <v>191649467.39936271</v>
      </c>
      <c r="D10" s="7">
        <f>B10-E10*$B$3</f>
        <v>14662720137.550802</v>
      </c>
      <c r="E10" s="7">
        <f>IFERROR(VLOOKUP($A10&amp;" - "&amp;$E$3&amp;" - "&amp;$B$2,Sometido!$1:$1048576,COLUMN('Original 2017'!H:H),0),0)</f>
        <v>1717859.4000000001</v>
      </c>
      <c r="F10" s="7">
        <f>IFERROR(VLOOKUP($A10&amp;" - "&amp;$I$3&amp;" - "&amp;$B$2,Sometido!$1:$1048576,COLUMN('Original 2017'!E:E),0),0)</f>
        <v>-12835253462.341801</v>
      </c>
      <c r="G10" s="7">
        <f t="shared" ref="G10" si="11">IF($B$3=0,0,F10/$B$3)</f>
        <v>-166259759.87489378</v>
      </c>
      <c r="H10" s="7">
        <f t="shared" ref="H10" si="12">F10-I10*$B$3</f>
        <v>-12835253462.341801</v>
      </c>
      <c r="I10" s="7">
        <f>IFERROR(VLOOKUP($A10&amp;" - "&amp;$I$3&amp;" - "&amp;$B$2,Sometido!$1:$1048576,COLUMN('Original 2017'!H:H),0),0)</f>
        <v>0</v>
      </c>
      <c r="J10" s="7">
        <f>IFERROR(VLOOKUP($A10&amp;" - "&amp;$M$3&amp;" - "&amp;$B$2,Sometido!$1:$1048576,COLUMN('Original 2017'!E:E),0),0)</f>
        <v>29521539404.276001</v>
      </c>
      <c r="K10" s="7">
        <f t="shared" ref="K10" si="13">IF($B$3=0,0,J10/$B$3)</f>
        <v>382403360.15901554</v>
      </c>
      <c r="L10" s="7">
        <f t="shared" ref="L10" si="14">J10-M10*$B$3</f>
        <v>28330460800</v>
      </c>
      <c r="M10" s="7">
        <f>IFERROR(VLOOKUP($A10&amp;" - "&amp;$M$3&amp;" - "&amp;$B$2,Sometido!$1:$1048576,COLUMN('Original 2017'!H:H),0),0)</f>
        <v>15428479.33</v>
      </c>
      <c r="N10" s="7">
        <f t="shared" ref="N10" si="15">B10+F10+J10</f>
        <v>31481624825.165001</v>
      </c>
      <c r="O10" s="7">
        <f t="shared" ref="O10" si="16">N10/$B$3</f>
        <v>407793067.68348444</v>
      </c>
      <c r="P10" s="7">
        <f t="shared" ref="P10" si="17">N10-Q10*$B$3</f>
        <v>30157927475.209</v>
      </c>
      <c r="Q10" s="7">
        <f t="shared" ref="Q10" si="18">E10+I10+M10</f>
        <v>17146338.73</v>
      </c>
    </row>
    <row r="11" spans="1:17" s="12" customFormat="1" ht="20.100000000000001" customHeight="1" x14ac:dyDescent="0.25">
      <c r="A11" s="13" t="s">
        <v>1</v>
      </c>
      <c r="B11" s="14">
        <f>IFERROR(VLOOKUP($A11&amp;" - "&amp;$E$3&amp;" - "&amp;$B$2,Sometido!$1:$1048576,COLUMN('Original 2017'!E:E),0),0)</f>
        <v>3770231.9</v>
      </c>
      <c r="C11" s="14">
        <f t="shared" si="1"/>
        <v>48837.200777202066</v>
      </c>
      <c r="D11" s="14">
        <f t="shared" si="2"/>
        <v>3770231.9</v>
      </c>
      <c r="E11" s="14">
        <f>IFERROR(VLOOKUP($A11&amp;" - "&amp;$E$3&amp;" - "&amp;$B$2,Sometido!$1:$1048576,COLUMN('Original 2017'!H:H),0),0)</f>
        <v>0</v>
      </c>
      <c r="F11" s="14">
        <f>IFERROR(VLOOKUP($A11&amp;" - "&amp;$I$3&amp;" - "&amp;$B$2,Sometido!$1:$1048576,COLUMN('Original 2017'!E:E),0),0)</f>
        <v>14924706838.539551</v>
      </c>
      <c r="G11" s="14">
        <f t="shared" si="3"/>
        <v>193325218.11579728</v>
      </c>
      <c r="H11" s="14">
        <f t="shared" si="4"/>
        <v>14924706838.539551</v>
      </c>
      <c r="I11" s="14">
        <f>IFERROR(VLOOKUP($A11&amp;" - "&amp;$I$3&amp;" - "&amp;$B$2,Sometido!$1:$1048576,COLUMN('Original 2017'!H:H),0),0)</f>
        <v>0</v>
      </c>
      <c r="J11" s="14">
        <f>IFERROR(VLOOKUP($A11&amp;" - "&amp;$M$3&amp;" - "&amp;$B$2,Sometido!$1:$1048576,COLUMN('Original 2017'!E:E),0),0)</f>
        <v>0</v>
      </c>
      <c r="K11" s="14">
        <f t="shared" si="0"/>
        <v>0</v>
      </c>
      <c r="L11" s="14">
        <f t="shared" si="5"/>
        <v>0</v>
      </c>
      <c r="M11" s="14">
        <f>IFERROR(VLOOKUP($A11&amp;" - "&amp;$M$3&amp;" - "&amp;$B$2,Sometido!$1:$1048576,COLUMN('Original 2017'!H:H),0),0)</f>
        <v>0</v>
      </c>
      <c r="N11" s="14">
        <f t="shared" si="6"/>
        <v>14928477070.43955</v>
      </c>
      <c r="O11" s="14">
        <f t="shared" si="7"/>
        <v>193374055.31657448</v>
      </c>
      <c r="P11" s="14">
        <f t="shared" si="8"/>
        <v>14928477070.43955</v>
      </c>
      <c r="Q11" s="14">
        <f t="shared" si="9"/>
        <v>0</v>
      </c>
    </row>
    <row r="12" spans="1:17" s="12" customFormat="1" ht="20.100000000000001" customHeight="1" x14ac:dyDescent="0.25">
      <c r="A12" s="6" t="s">
        <v>18</v>
      </c>
      <c r="B12" s="7">
        <f>IFERROR(VLOOKUP($A12&amp;" - "&amp;$E$3&amp;" - "&amp;$B$2,Sometido!$1:$1048576,COLUMN('Original 2017'!E:E),0),0)</f>
        <v>1120944000.0000002</v>
      </c>
      <c r="C12" s="7">
        <f t="shared" si="1"/>
        <v>14520000.000000002</v>
      </c>
      <c r="D12" s="7">
        <f t="shared" si="2"/>
        <v>0</v>
      </c>
      <c r="E12" s="7">
        <f>IFERROR(VLOOKUP($A12&amp;" - "&amp;$E$3&amp;" - "&amp;$B$2,Sometido!$1:$1048576,COLUMN('Original 2017'!H:H),0),0)</f>
        <v>14520000.000000002</v>
      </c>
      <c r="F12" s="7">
        <f>IFERROR(VLOOKUP($A12&amp;" - "&amp;$I$3&amp;" - "&amp;$B$2,Sometido!$1:$1048576,COLUMN('Original 2017'!E:E),0),0)</f>
        <v>11332306389.24888</v>
      </c>
      <c r="G12" s="7">
        <f t="shared" si="3"/>
        <v>146791533.53949326</v>
      </c>
      <c r="H12" s="7">
        <f t="shared" si="4"/>
        <v>0</v>
      </c>
      <c r="I12" s="7">
        <f>IFERROR(VLOOKUP($A12&amp;" - "&amp;$I$3&amp;" - "&amp;$B$2,Sometido!$1:$1048576,COLUMN('Original 2017'!H:H),0),0)</f>
        <v>146791533.53949326</v>
      </c>
      <c r="J12" s="7">
        <f>IFERROR(VLOOKUP($A12&amp;" - "&amp;$M$3&amp;" - "&amp;$B$2,Sometido!$1:$1048576,COLUMN('Original 2017'!E:E),0),0)</f>
        <v>0</v>
      </c>
      <c r="K12" s="7">
        <f t="shared" si="0"/>
        <v>0</v>
      </c>
      <c r="L12" s="7">
        <f t="shared" si="5"/>
        <v>0</v>
      </c>
      <c r="M12" s="7">
        <f>IFERROR(VLOOKUP($A12&amp;" - "&amp;$M$3&amp;" - "&amp;$B$2,Sometido!$1:$1048576,COLUMN('Original 2017'!H:H),0),0)</f>
        <v>0</v>
      </c>
      <c r="N12" s="7">
        <f t="shared" si="6"/>
        <v>12453250389.24888</v>
      </c>
      <c r="O12" s="7">
        <f t="shared" si="7"/>
        <v>161311533.53949326</v>
      </c>
      <c r="P12" s="7">
        <f t="shared" si="8"/>
        <v>0</v>
      </c>
      <c r="Q12" s="7">
        <f t="shared" si="9"/>
        <v>161311533.53949326</v>
      </c>
    </row>
    <row r="13" spans="1:17" s="12" customFormat="1" ht="20.100000000000001" customHeight="1" x14ac:dyDescent="0.25">
      <c r="A13" s="18" t="s">
        <v>38</v>
      </c>
      <c r="B13" s="19">
        <f>SUM(B6:B12)</f>
        <v>236458666620.18958</v>
      </c>
      <c r="C13" s="19">
        <f t="shared" ref="C13:Q13" si="19">SUM(C6:C12)</f>
        <v>3062936096.1164446</v>
      </c>
      <c r="D13" s="19">
        <f t="shared" si="19"/>
        <v>160737500998.4361</v>
      </c>
      <c r="E13" s="19">
        <f t="shared" si="19"/>
        <v>980844114.27141798</v>
      </c>
      <c r="F13" s="19">
        <f t="shared" si="19"/>
        <v>2347523705413.1592</v>
      </c>
      <c r="G13" s="19">
        <f t="shared" si="19"/>
        <v>30408338153.020191</v>
      </c>
      <c r="H13" s="19">
        <f t="shared" si="19"/>
        <v>36725083991.945923</v>
      </c>
      <c r="I13" s="19">
        <f t="shared" si="19"/>
        <v>29932624629.808453</v>
      </c>
      <c r="J13" s="19">
        <f t="shared" si="19"/>
        <v>94283009404.276001</v>
      </c>
      <c r="K13" s="19">
        <f t="shared" si="19"/>
        <v>1221282505.2367358</v>
      </c>
      <c r="L13" s="19">
        <f t="shared" si="19"/>
        <v>70001410800</v>
      </c>
      <c r="M13" s="19">
        <f t="shared" si="19"/>
        <v>314528479.32999998</v>
      </c>
      <c r="N13" s="19">
        <f t="shared" si="19"/>
        <v>2678265381437.625</v>
      </c>
      <c r="O13" s="19">
        <f t="shared" si="19"/>
        <v>34692556754.373367</v>
      </c>
      <c r="P13" s="19">
        <f t="shared" si="19"/>
        <v>267463995790.38217</v>
      </c>
      <c r="Q13" s="19">
        <f t="shared" si="19"/>
        <v>31227997223.40987</v>
      </c>
    </row>
    <row r="15" spans="1:17" x14ac:dyDescent="0.25">
      <c r="A15" s="11" t="s">
        <v>30</v>
      </c>
    </row>
    <row r="16" spans="1:17" x14ac:dyDescent="0.25">
      <c r="A16" s="5" t="s">
        <v>25</v>
      </c>
      <c r="B16" s="1" t="s">
        <v>60</v>
      </c>
    </row>
    <row r="17" spans="1:17" x14ac:dyDescent="0.25">
      <c r="A17" s="5" t="s">
        <v>16</v>
      </c>
      <c r="B17" s="3">
        <f>IFERROR(VLOOKUP(B16,BD!E:F,2,0),0)</f>
        <v>2366</v>
      </c>
      <c r="E17" s="9" t="s">
        <v>13</v>
      </c>
      <c r="I17" s="9" t="s">
        <v>14</v>
      </c>
      <c r="M17" s="9" t="s">
        <v>15</v>
      </c>
    </row>
    <row r="18" spans="1:17" ht="20.100000000000001" customHeight="1" x14ac:dyDescent="0.25">
      <c r="A18" s="31" t="s">
        <v>24</v>
      </c>
      <c r="B18" s="31" t="s">
        <v>19</v>
      </c>
      <c r="C18" s="31"/>
      <c r="D18" s="31"/>
      <c r="E18" s="31"/>
      <c r="F18" s="31" t="s">
        <v>20</v>
      </c>
      <c r="G18" s="31"/>
      <c r="H18" s="31"/>
      <c r="I18" s="31"/>
      <c r="J18" s="31" t="s">
        <v>21</v>
      </c>
      <c r="K18" s="31"/>
      <c r="L18" s="31"/>
      <c r="M18" s="31"/>
      <c r="N18" s="31" t="s">
        <v>22</v>
      </c>
      <c r="O18" s="31" t="s">
        <v>23</v>
      </c>
      <c r="P18" s="31"/>
      <c r="Q18" s="31"/>
    </row>
    <row r="19" spans="1:17" ht="20.100000000000001" customHeight="1" x14ac:dyDescent="0.25">
      <c r="A19" s="31"/>
      <c r="B19" s="8" t="s">
        <v>5</v>
      </c>
      <c r="C19" s="8" t="s">
        <v>6</v>
      </c>
      <c r="D19" s="8" t="s">
        <v>7</v>
      </c>
      <c r="E19" s="8" t="s">
        <v>8</v>
      </c>
      <c r="F19" s="8" t="s">
        <v>5</v>
      </c>
      <c r="G19" s="8" t="s">
        <v>6</v>
      </c>
      <c r="H19" s="8" t="s">
        <v>7</v>
      </c>
      <c r="I19" s="8" t="s">
        <v>8</v>
      </c>
      <c r="J19" s="8" t="s">
        <v>5</v>
      </c>
      <c r="K19" s="8" t="s">
        <v>6</v>
      </c>
      <c r="L19" s="8" t="s">
        <v>7</v>
      </c>
      <c r="M19" s="8" t="s">
        <v>8</v>
      </c>
      <c r="N19" s="8" t="s">
        <v>5</v>
      </c>
      <c r="O19" s="8" t="s">
        <v>6</v>
      </c>
      <c r="P19" s="8" t="s">
        <v>7</v>
      </c>
      <c r="Q19" s="8" t="s">
        <v>8</v>
      </c>
    </row>
    <row r="20" spans="1:17" s="12" customFormat="1" ht="20.100000000000001" customHeight="1" x14ac:dyDescent="0.25">
      <c r="A20" s="6" t="str">
        <f>A6</f>
        <v>COMERCIO Y SUMINISTRO</v>
      </c>
      <c r="B20" s="7">
        <f ca="1">IFERROR(VLOOKUP(A20&amp;" - "&amp;$E$17,INDIRECT("'"&amp;$B$16&amp;"'!A:I"),COLUMN('Original 2017'!F:F),0),0)</f>
        <v>301823447992.13</v>
      </c>
      <c r="C20" s="7">
        <f ca="1">IF($B$17=0,0,B20/$B$17)</f>
        <v>127566968.72025782</v>
      </c>
      <c r="D20" s="7">
        <f ca="1">B20-E20*$B$17</f>
        <v>104708161649.61002</v>
      </c>
      <c r="E20" s="7">
        <f ca="1">IFERROR(VLOOKUP(A20&amp;" - "&amp;$E$17,INDIRECT("'"&amp;$B$16&amp;"'!A:I"),COLUMN('Original 2017'!I:I),0),0)</f>
        <v>83311617.219999999</v>
      </c>
      <c r="F20" s="7">
        <f ca="1">IFERROR(VLOOKUP($A20&amp;" - "&amp;$I$17,INDIRECT("'"&amp;$B$16&amp;"'!A:I"),COLUMN('Original 2017'!F:F),0),0)</f>
        <v>70384697053156.781</v>
      </c>
      <c r="G20" s="7">
        <f ca="1">IF($B$17=0,0,F20/$B$17)</f>
        <v>29748392668.282661</v>
      </c>
      <c r="H20" s="7">
        <f ca="1">F20-I20*$B$17</f>
        <v>57938254691.523437</v>
      </c>
      <c r="I20" s="7">
        <f ca="1">IFERROR(VLOOKUP($A20&amp;" - "&amp;$I$17,INDIRECT("'"&amp;$B$16&amp;"'!A:I"),COLUMN('Original 2017'!I:I),0),0)</f>
        <v>29723904817.610001</v>
      </c>
      <c r="J20" s="7">
        <f ca="1">IFERROR(VLOOKUP($A20&amp;" - "&amp;$M$17,INDIRECT("'"&amp;$B$16&amp;"'!A:I"),COLUMN('Original 2017'!F:F),0),0)</f>
        <v>0</v>
      </c>
      <c r="K20" s="7">
        <f ca="1">IF($B$17=0,0,J20/$B$17)</f>
        <v>0</v>
      </c>
      <c r="L20" s="7">
        <f ca="1">J20-M20*$B$17</f>
        <v>0</v>
      </c>
      <c r="M20" s="7">
        <f ca="1">IFERROR(VLOOKUP($A20&amp;" - "&amp;$M$17,INDIRECT("'"&amp;$B$16&amp;"'!A:I"),COLUMN('Original 2017'!I:I),0),0)</f>
        <v>0</v>
      </c>
      <c r="N20" s="7">
        <f ca="1">B20+F20+J20</f>
        <v>70686520501148.906</v>
      </c>
      <c r="O20" s="7">
        <f ca="1">N20/$B$17</f>
        <v>29875959637.002918</v>
      </c>
      <c r="P20" s="7">
        <f ca="1">N20-Q20*$B$17</f>
        <v>162646416341.125</v>
      </c>
      <c r="Q20" s="7">
        <f ca="1">E20+I20+M20</f>
        <v>29807216434.830002</v>
      </c>
    </row>
    <row r="21" spans="1:17" s="12" customFormat="1" ht="20.100000000000001" customHeight="1" x14ac:dyDescent="0.25">
      <c r="A21" s="13" t="str">
        <f t="shared" ref="A21:A26" si="20">A7</f>
        <v>MERCADO NACIONAL</v>
      </c>
      <c r="B21" s="14">
        <f ca="1">IFERROR(VLOOKUP(A21&amp;" - "&amp;$E$17,INDIRECT("'"&amp;$B$16&amp;"'!A:I"),COLUMN('Original 2017'!F:F),0),0)</f>
        <v>101279010569.11</v>
      </c>
      <c r="C21" s="14">
        <f t="shared" ref="C21:C26" ca="1" si="21">IF($B$17=0,0,B21/$B$17)</f>
        <v>42806006.157696538</v>
      </c>
      <c r="D21" s="14">
        <f t="shared" ref="D21:D26" ca="1" si="22">B21-E21*$B$17</f>
        <v>34105644829.629997</v>
      </c>
      <c r="E21" s="14">
        <f ca="1">IFERROR(VLOOKUP(A21&amp;" - "&amp;$E$17,INDIRECT("'"&amp;$B$16&amp;"'!A:I"),COLUMN('Original 2017'!I:I),0),0)</f>
        <v>28391109.780000001</v>
      </c>
      <c r="F21" s="14">
        <f ca="1">IFERROR(VLOOKUP(A21&amp;" - "&amp;$I$17,INDIRECT("'"&amp;$B$16&amp;"'!A:I"),COLUMN('Original 2017'!F:F),0),0)</f>
        <v>157918644920.98999</v>
      </c>
      <c r="G21" s="14">
        <f t="shared" ref="G21:G26" ca="1" si="23">IF($B$17=0,0,F21/$B$17)</f>
        <v>66744989.400249362</v>
      </c>
      <c r="H21" s="14">
        <f t="shared" ref="H21:H26" ca="1" si="24">F21-I21*$B$17</f>
        <v>11396337611.429993</v>
      </c>
      <c r="I21" s="14">
        <f ca="1">IFERROR(VLOOKUP(A21&amp;" - "&amp;$I$17,INDIRECT("'"&amp;$B$16&amp;"'!A:I"),COLUMN('Original 2017'!I:I),0),0)</f>
        <v>61928278.659999996</v>
      </c>
      <c r="J21" s="14">
        <f ca="1">IFERROR(VLOOKUP($A21&amp;" - "&amp;$M$17,INDIRECT("'"&amp;$B$16&amp;"'!A:I"),COLUMN('Original 2017'!F:F),0),0)</f>
        <v>38646676061.510002</v>
      </c>
      <c r="K21" s="14">
        <f t="shared" ref="K21:K26" ca="1" si="25">IF($B$17=0,0,J21/$B$17)</f>
        <v>16334182.61264159</v>
      </c>
      <c r="L21" s="14">
        <f ca="1">J21-M21*$B$17</f>
        <v>38646676061.510002</v>
      </c>
      <c r="M21" s="14">
        <f ca="1">IFERROR(VLOOKUP($A21&amp;" - "&amp;$M$17,INDIRECT("'"&amp;$B$16&amp;"'!A:I"),COLUMN('Original 2017'!I:I),0),0)</f>
        <v>0</v>
      </c>
      <c r="N21" s="14">
        <f t="shared" ref="N21:N26" ca="1" si="26">B21+F21+J21</f>
        <v>297844331551.60999</v>
      </c>
      <c r="O21" s="14">
        <f t="shared" ref="O21:O26" ca="1" si="27">N21/$B$17</f>
        <v>125885178.17058748</v>
      </c>
      <c r="P21" s="14">
        <f t="shared" ref="P21:P26" ca="1" si="28">N21-Q21*$B$17</f>
        <v>84148658502.569977</v>
      </c>
      <c r="Q21" s="14">
        <f t="shared" ref="Q21:Q26" ca="1" si="29">E21+I21+M21</f>
        <v>90319388.439999998</v>
      </c>
    </row>
    <row r="22" spans="1:17" s="12" customFormat="1" ht="20.100000000000001" customHeight="1" x14ac:dyDescent="0.25">
      <c r="A22" s="6" t="str">
        <f t="shared" si="20"/>
        <v>ENT</v>
      </c>
      <c r="B22" s="7">
        <f ca="1">IFERROR(VLOOKUP(A22&amp;" - "&amp;$E$17,INDIRECT("'"&amp;$B$16&amp;"'!A:I"),COLUMN('Original 2017'!F:F),0),0)</f>
        <v>24771599890.119999</v>
      </c>
      <c r="C22" s="7">
        <f t="shared" ca="1" si="21"/>
        <v>10469822.43876585</v>
      </c>
      <c r="D22" s="7">
        <f t="shared" ca="1" si="22"/>
        <v>2747545557.8400002</v>
      </c>
      <c r="E22" s="7">
        <f ca="1">IFERROR(VLOOKUP(A22&amp;" - "&amp;$E$17,INDIRECT("'"&amp;$B$16&amp;"'!A:I"),COLUMN('Original 2017'!I:I),0),0)</f>
        <v>9308560.5800000001</v>
      </c>
      <c r="F22" s="7">
        <f ca="1">IFERROR(VLOOKUP(A22&amp;" - "&amp;$I$17,INDIRECT("'"&amp;$B$16&amp;"'!A:I"),COLUMN('Original 2017'!F:F),0),0)</f>
        <v>1345613551.52</v>
      </c>
      <c r="G22" s="7">
        <f t="shared" ca="1" si="23"/>
        <v>568729.31171597634</v>
      </c>
      <c r="H22" s="7">
        <f t="shared" ca="1" si="24"/>
        <v>1345613551.52</v>
      </c>
      <c r="I22" s="7">
        <f ca="1">IFERROR(VLOOKUP(A22&amp;" - "&amp;$I$17,INDIRECT("'"&amp;$B$16&amp;"'!A:I"),COLUMN('Original 2017'!I:I),0),0)</f>
        <v>0</v>
      </c>
      <c r="J22" s="7">
        <f ca="1">IFERROR(VLOOKUP($A22&amp;" - "&amp;$M$17,INDIRECT("'"&amp;$B$16&amp;"'!A:I"),COLUMN('Original 2017'!F:F),0),0)</f>
        <v>3023000000</v>
      </c>
      <c r="K22" s="7">
        <f t="shared" ca="1" si="25"/>
        <v>1277683.8546069316</v>
      </c>
      <c r="L22" s="7">
        <f t="shared" ref="L22:L26" ca="1" si="30">J22-M22*$B$17</f>
        <v>3023000000</v>
      </c>
      <c r="M22" s="7">
        <f ca="1">IFERROR(VLOOKUP($A22&amp;" - "&amp;$M$17,INDIRECT("'"&amp;$B$16&amp;"'!A:I"),COLUMN('Original 2017'!I:I),0),0)</f>
        <v>0</v>
      </c>
      <c r="N22" s="7">
        <f t="shared" ca="1" si="26"/>
        <v>29140213441.639999</v>
      </c>
      <c r="O22" s="7">
        <f t="shared" ca="1" si="27"/>
        <v>12316235.605088757</v>
      </c>
      <c r="P22" s="7">
        <f t="shared" ca="1" si="28"/>
        <v>7116159109.3600006</v>
      </c>
      <c r="Q22" s="7">
        <f t="shared" ca="1" si="29"/>
        <v>9308560.5800000001</v>
      </c>
    </row>
    <row r="23" spans="1:17" s="12" customFormat="1" ht="20.100000000000001" customHeight="1" x14ac:dyDescent="0.25">
      <c r="A23" s="13" t="str">
        <f t="shared" si="20"/>
        <v>PDV MARINA</v>
      </c>
      <c r="B23" s="14">
        <f ca="1">IFERROR(VLOOKUP(A23&amp;" - "&amp;$E$17,INDIRECT("'"&amp;$B$16&amp;"'!A:I"),COLUMN('Original 2017'!F:F),0),0)</f>
        <v>618668932069.40002</v>
      </c>
      <c r="C23" s="14">
        <f t="shared" ca="1" si="21"/>
        <v>261483065.11808962</v>
      </c>
      <c r="D23" s="14">
        <f t="shared" ca="1" si="22"/>
        <v>11129696811.900024</v>
      </c>
      <c r="E23" s="14">
        <f ca="1">IFERROR(VLOOKUP(A23&amp;" - "&amp;$E$17,INDIRECT("'"&amp;$B$16&amp;"'!A:I"),COLUMN('Original 2017'!I:I),0),0)</f>
        <v>256779051.25</v>
      </c>
      <c r="F23" s="14">
        <f ca="1">IFERROR(VLOOKUP(A23&amp;" - "&amp;$I$17,INDIRECT("'"&amp;$B$16&amp;"'!A:I"),COLUMN('Original 2017'!F:F),0),0)</f>
        <v>55041858201.18</v>
      </c>
      <c r="G23" s="14">
        <f t="shared" ca="1" si="23"/>
        <v>23263676.331859678</v>
      </c>
      <c r="H23" s="14">
        <f t="shared" ca="1" si="24"/>
        <v>55029555001.18</v>
      </c>
      <c r="I23" s="14">
        <f ca="1">IFERROR(VLOOKUP(A23&amp;" - "&amp;$I$17,INDIRECT("'"&amp;$B$16&amp;"'!A:I"),COLUMN('Original 2017'!I:I),0),0)</f>
        <v>5200</v>
      </c>
      <c r="J23" s="14">
        <f ca="1">IFERROR(VLOOKUP($A23&amp;" - "&amp;$M$17,INDIRECT("'"&amp;$B$16&amp;"'!A:I"),COLUMN('Original 2017'!F:F),0),0)</f>
        <v>0</v>
      </c>
      <c r="K23" s="14">
        <f t="shared" ca="1" si="25"/>
        <v>0</v>
      </c>
      <c r="L23" s="14">
        <f t="shared" ca="1" si="30"/>
        <v>0</v>
      </c>
      <c r="M23" s="14">
        <f ca="1">IFERROR(VLOOKUP($A23&amp;" - "&amp;$M$17,INDIRECT("'"&amp;$B$16&amp;"'!A:I"),COLUMN('Original 2017'!I:I),0),0)</f>
        <v>0</v>
      </c>
      <c r="N23" s="14">
        <f t="shared" ca="1" si="26"/>
        <v>673710790270.58008</v>
      </c>
      <c r="O23" s="14">
        <f t="shared" ca="1" si="27"/>
        <v>284746741.44994932</v>
      </c>
      <c r="P23" s="14">
        <f t="shared" ca="1" si="28"/>
        <v>66159251813.080078</v>
      </c>
      <c r="Q23" s="14">
        <f t="shared" ca="1" si="29"/>
        <v>256784251.25</v>
      </c>
    </row>
    <row r="24" spans="1:17" s="12" customFormat="1" ht="20.100000000000001" customHeight="1" x14ac:dyDescent="0.25">
      <c r="A24" s="6" t="str">
        <f t="shared" si="20"/>
        <v>PDVSA NAVAL</v>
      </c>
      <c r="B24" s="7">
        <f ca="1">IFERROR(VLOOKUP(A24&amp;" - "&amp;$E$17,INDIRECT("'"&amp;$B$16&amp;"'!A:I"),COLUMN('Original 2017'!F:F),0),0)</f>
        <v>16447256567.689999</v>
      </c>
      <c r="C24" s="7">
        <f t="shared" ref="C24" ca="1" si="31">IF($B$17=0,0,B24/$B$17)</f>
        <v>6951503.1985164825</v>
      </c>
      <c r="D24" s="7">
        <f t="shared" ref="D24" ca="1" si="32">B24-E24*$B$17</f>
        <v>14662720137.649998</v>
      </c>
      <c r="E24" s="7">
        <f ca="1">IFERROR(VLOOKUP(A24&amp;" - "&amp;$E$17,INDIRECT("'"&amp;$B$16&amp;"'!A:I"),COLUMN('Original 2017'!I:I),0),0)</f>
        <v>754241.94</v>
      </c>
      <c r="F24" s="7">
        <f ca="1">IFERROR(VLOOKUP(A24&amp;" - "&amp;$I$17,INDIRECT("'"&amp;$B$16&amp;"'!A:I"),COLUMN('Original 2017'!F:F),0),0)</f>
        <v>0</v>
      </c>
      <c r="G24" s="7">
        <f t="shared" ref="G24" ca="1" si="33">IF($B$17=0,0,F24/$B$17)</f>
        <v>0</v>
      </c>
      <c r="H24" s="7">
        <f t="shared" ref="H24" ca="1" si="34">F24-I24*$B$17</f>
        <v>0</v>
      </c>
      <c r="I24" s="7">
        <f ca="1">IFERROR(VLOOKUP(A24&amp;" - "&amp;$I$17,INDIRECT("'"&amp;$B$16&amp;"'!A:I"),COLUMN('Original 2017'!I:I),0),0)</f>
        <v>0</v>
      </c>
      <c r="J24" s="7">
        <f ca="1">IFERROR(VLOOKUP($A24&amp;" - "&amp;$M$17,INDIRECT("'"&amp;$B$16&amp;"'!A:I"),COLUMN('Original 2017'!F:F),0),0)</f>
        <v>28330460800</v>
      </c>
      <c r="K24" s="7">
        <f t="shared" ref="K24" ca="1" si="35">IF($B$17=0,0,J24/$B$17)</f>
        <v>11973990.194420964</v>
      </c>
      <c r="L24" s="7">
        <f t="shared" ref="L24" ca="1" si="36">J24-M24*$B$17</f>
        <v>28330460800</v>
      </c>
      <c r="M24" s="7">
        <f ca="1">IFERROR(VLOOKUP($A24&amp;" - "&amp;$M$17,INDIRECT("'"&amp;$B$16&amp;"'!A:I"),COLUMN('Original 2017'!I:I),0),0)</f>
        <v>0</v>
      </c>
      <c r="N24" s="7">
        <f t="shared" ref="N24" ca="1" si="37">B24+F24+J24</f>
        <v>44777717367.690002</v>
      </c>
      <c r="O24" s="7">
        <f t="shared" ref="O24" ca="1" si="38">N24/$B$17</f>
        <v>18925493.392937448</v>
      </c>
      <c r="P24" s="7">
        <f t="shared" ref="P24" ca="1" si="39">N24-Q24*$B$17</f>
        <v>42993180937.650002</v>
      </c>
      <c r="Q24" s="7">
        <f t="shared" ref="Q24" ca="1" si="40">E24+I24+M24</f>
        <v>754241.94</v>
      </c>
    </row>
    <row r="25" spans="1:17" s="12" customFormat="1" ht="20.100000000000001" customHeight="1" x14ac:dyDescent="0.25">
      <c r="A25" s="13" t="str">
        <f t="shared" si="20"/>
        <v>COMMERCHAMP</v>
      </c>
      <c r="B25" s="14">
        <f ca="1">IFERROR(VLOOKUP(A25&amp;" - "&amp;$E$17,INDIRECT("'"&amp;$B$16&amp;"'!A:I"),COLUMN('Original 2017'!F:F),0),0)</f>
        <v>3770231.9</v>
      </c>
      <c r="C25" s="14">
        <f t="shared" ca="1" si="21"/>
        <v>1593.5046069315299</v>
      </c>
      <c r="D25" s="14">
        <f t="shared" ca="1" si="22"/>
        <v>3770231.9</v>
      </c>
      <c r="E25" s="14">
        <f ca="1">IFERROR(VLOOKUP(A25&amp;" - "&amp;$E$17,INDIRECT("'"&amp;$B$16&amp;"'!A:I"),COLUMN('Original 2017'!I:I),0),0)</f>
        <v>0</v>
      </c>
      <c r="F25" s="14">
        <f ca="1">IFERROR(VLOOKUP(A25&amp;" - "&amp;$I$17,INDIRECT("'"&amp;$B$16&amp;"'!A:I"),COLUMN('Original 2017'!F:F),0),0)</f>
        <v>14924706838.540001</v>
      </c>
      <c r="G25" s="14">
        <f t="shared" ca="1" si="23"/>
        <v>6307991.0560185974</v>
      </c>
      <c r="H25" s="14">
        <f t="shared" ca="1" si="24"/>
        <v>14924706838.540001</v>
      </c>
      <c r="I25" s="14">
        <f ca="1">IFERROR(VLOOKUP(A25&amp;" - "&amp;$I$17,INDIRECT("'"&amp;$B$16&amp;"'!A:I"),COLUMN('Original 2017'!I:I),0),0)</f>
        <v>0</v>
      </c>
      <c r="J25" s="14">
        <f ca="1">IFERROR(VLOOKUP($A25&amp;" - "&amp;$M$17,INDIRECT("'"&amp;$B$16&amp;"'!A:I"),COLUMN('Original 2017'!F:F),0),0)</f>
        <v>0</v>
      </c>
      <c r="K25" s="14">
        <f t="shared" ca="1" si="25"/>
        <v>0</v>
      </c>
      <c r="L25" s="14">
        <f t="shared" ca="1" si="30"/>
        <v>0</v>
      </c>
      <c r="M25" s="14">
        <f ca="1">IFERROR(VLOOKUP($A25&amp;" - "&amp;$M$17,INDIRECT("'"&amp;$B$16&amp;"'!A:I"),COLUMN('Original 2017'!I:I),0),0)</f>
        <v>0</v>
      </c>
      <c r="N25" s="14">
        <f t="shared" ca="1" si="26"/>
        <v>14928477070.440001</v>
      </c>
      <c r="O25" s="14">
        <f t="shared" ca="1" si="27"/>
        <v>6309584.5606255289</v>
      </c>
      <c r="P25" s="14">
        <f t="shared" ca="1" si="28"/>
        <v>14928477070.440001</v>
      </c>
      <c r="Q25" s="14">
        <f t="shared" ca="1" si="29"/>
        <v>0</v>
      </c>
    </row>
    <row r="26" spans="1:17" s="12" customFormat="1" ht="20.100000000000001" customHeight="1" x14ac:dyDescent="0.25">
      <c r="A26" s="6" t="str">
        <f t="shared" si="20"/>
        <v>COMERCIT</v>
      </c>
      <c r="B26" s="7">
        <f ca="1">IFERROR(VLOOKUP(A26&amp;" - "&amp;$E$17,INDIRECT("'"&amp;$B$16&amp;"'!A:I"),COLUMN('Original 2017'!F:F),0),0)</f>
        <v>15989463450.18</v>
      </c>
      <c r="C26" s="7">
        <f t="shared" ca="1" si="21"/>
        <v>6758014.9831699068</v>
      </c>
      <c r="D26" s="7">
        <f t="shared" ca="1" si="22"/>
        <v>0</v>
      </c>
      <c r="E26" s="7">
        <f ca="1">IFERROR(VLOOKUP(A26&amp;" - "&amp;$E$17,INDIRECT("'"&amp;$B$16&amp;"'!A:I"),COLUMN('Original 2017'!I:I),0),0)</f>
        <v>6758014.9831699068</v>
      </c>
      <c r="F26" s="7">
        <f ca="1">IFERROR(VLOOKUP(A26&amp;" - "&amp;$I$17,INDIRECT("'"&amp;$B$16&amp;"'!A:I"),COLUMN('Original 2017'!F:F),0),0)</f>
        <v>347347368355.63995</v>
      </c>
      <c r="G26" s="7">
        <f t="shared" ca="1" si="23"/>
        <v>146807847.99477598</v>
      </c>
      <c r="H26" s="7">
        <f t="shared" ca="1" si="24"/>
        <v>38600000</v>
      </c>
      <c r="I26" s="7">
        <f ca="1">IFERROR(VLOOKUP(A26&amp;" - "&amp;$I$17,INDIRECT("'"&amp;$B$16&amp;"'!A:I"),COLUMN('Original 2017'!I:I),0),0)</f>
        <v>146791533.53999999</v>
      </c>
      <c r="J26" s="7">
        <f ca="1">IFERROR(VLOOKUP($A26&amp;" - "&amp;$M$17,INDIRECT("'"&amp;$B$16&amp;"'!A:I"),COLUMN('Original 2017'!F:F),0),0)</f>
        <v>0</v>
      </c>
      <c r="K26" s="7">
        <f t="shared" ca="1" si="25"/>
        <v>0</v>
      </c>
      <c r="L26" s="7">
        <f t="shared" ca="1" si="30"/>
        <v>0</v>
      </c>
      <c r="M26" s="7">
        <f ca="1">IFERROR(VLOOKUP($A26&amp;" - "&amp;$M$17,INDIRECT("'"&amp;$B$16&amp;"'!A:I"),COLUMN('Original 2017'!I:I),0),0)</f>
        <v>0</v>
      </c>
      <c r="N26" s="7">
        <f t="shared" ca="1" si="26"/>
        <v>363336831805.81995</v>
      </c>
      <c r="O26" s="7">
        <f t="shared" ca="1" si="27"/>
        <v>153565862.97794586</v>
      </c>
      <c r="P26" s="7">
        <f t="shared" ca="1" si="28"/>
        <v>38599999.999938965</v>
      </c>
      <c r="Q26" s="7">
        <f t="shared" ca="1" si="29"/>
        <v>153549548.5231699</v>
      </c>
    </row>
    <row r="27" spans="1:17" s="12" customFormat="1" ht="20.100000000000001" customHeight="1" x14ac:dyDescent="0.25">
      <c r="A27" s="18" t="s">
        <v>38</v>
      </c>
      <c r="B27" s="19">
        <f ca="1">SUM(B20:B26)</f>
        <v>1078983480770.53</v>
      </c>
      <c r="C27" s="19">
        <f t="shared" ref="C27" ca="1" si="41">SUM(C20:C26)</f>
        <v>456036974.12110311</v>
      </c>
      <c r="D27" s="19">
        <f t="shared" ref="D27" ca="1" si="42">SUM(D20:D26)</f>
        <v>167357539218.53003</v>
      </c>
      <c r="E27" s="19">
        <f t="shared" ref="E27" ca="1" si="43">SUM(E20:E26)</f>
        <v>385302595.75316989</v>
      </c>
      <c r="F27" s="19">
        <f t="shared" ref="F27" ca="1" si="44">SUM(F20:F26)</f>
        <v>70961275245024.656</v>
      </c>
      <c r="G27" s="19">
        <f t="shared" ref="G27" ca="1" si="45">SUM(G20:G26)</f>
        <v>29992085902.377281</v>
      </c>
      <c r="H27" s="19">
        <f t="shared" ref="H27" ca="1" si="46">SUM(H20:H26)</f>
        <v>140673067694.19345</v>
      </c>
      <c r="I27" s="19">
        <f t="shared" ref="I27" ca="1" si="47">SUM(I20:I26)</f>
        <v>29932629829.810001</v>
      </c>
      <c r="J27" s="19">
        <f t="shared" ref="J27" ca="1" si="48">SUM(J20:J26)</f>
        <v>70000136861.51001</v>
      </c>
      <c r="K27" s="19">
        <f t="shared" ref="K27" ca="1" si="49">SUM(K20:K26)</f>
        <v>29585856.661669485</v>
      </c>
      <c r="L27" s="19">
        <f t="shared" ref="L27" ca="1" si="50">SUM(L20:L26)</f>
        <v>70000136861.51001</v>
      </c>
      <c r="M27" s="19">
        <f t="shared" ref="M27" ca="1" si="51">SUM(M20:M26)</f>
        <v>0</v>
      </c>
      <c r="N27" s="19">
        <f t="shared" ref="N27" ca="1" si="52">SUM(N20:N26)</f>
        <v>72110258862656.672</v>
      </c>
      <c r="O27" s="19">
        <f t="shared" ref="O27" ca="1" si="53">SUM(O20:O26)</f>
        <v>30477708733.160053</v>
      </c>
      <c r="P27" s="19">
        <f t="shared" ref="P27" ca="1" si="54">SUM(P20:P26)</f>
        <v>378030743774.22504</v>
      </c>
      <c r="Q27" s="19">
        <f t="shared" ref="Q27" ca="1" si="55">SUM(Q20:Q26)</f>
        <v>30317932425.563171</v>
      </c>
    </row>
    <row r="29" spans="1:17" x14ac:dyDescent="0.25">
      <c r="A29" s="11" t="s">
        <v>41</v>
      </c>
    </row>
    <row r="30" spans="1:17" x14ac:dyDescent="0.25">
      <c r="A30" s="5" t="s">
        <v>25</v>
      </c>
      <c r="B30" s="32" t="str">
        <f>B16&amp;" vs. "&amp;B2</f>
        <v>Original 2019 vs. Original Sometido 2019</v>
      </c>
      <c r="C30" s="33"/>
    </row>
    <row r="31" spans="1:17" x14ac:dyDescent="0.25">
      <c r="E31" s="9" t="s">
        <v>13</v>
      </c>
      <c r="I31" s="9" t="s">
        <v>14</v>
      </c>
      <c r="M31" s="9" t="s">
        <v>15</v>
      </c>
    </row>
    <row r="32" spans="1:17" ht="20.100000000000001" customHeight="1" x14ac:dyDescent="0.25">
      <c r="A32" s="31" t="s">
        <v>24</v>
      </c>
      <c r="B32" s="31" t="s">
        <v>19</v>
      </c>
      <c r="C32" s="31"/>
      <c r="D32" s="31"/>
      <c r="E32" s="31"/>
      <c r="F32" s="31" t="s">
        <v>20</v>
      </c>
      <c r="G32" s="31"/>
      <c r="H32" s="31"/>
      <c r="I32" s="31"/>
      <c r="J32" s="31" t="s">
        <v>21</v>
      </c>
      <c r="K32" s="31"/>
      <c r="L32" s="31"/>
      <c r="M32" s="31"/>
      <c r="N32" s="31" t="s">
        <v>22</v>
      </c>
      <c r="O32" s="31" t="s">
        <v>23</v>
      </c>
      <c r="P32" s="31"/>
      <c r="Q32" s="31"/>
    </row>
    <row r="33" spans="1:17" ht="20.100000000000001" customHeight="1" x14ac:dyDescent="0.25">
      <c r="A33" s="31"/>
      <c r="B33" s="8" t="s">
        <v>5</v>
      </c>
      <c r="C33" s="8" t="s">
        <v>6</v>
      </c>
      <c r="D33" s="8" t="s">
        <v>7</v>
      </c>
      <c r="E33" s="8" t="s">
        <v>8</v>
      </c>
      <c r="F33" s="8" t="s">
        <v>5</v>
      </c>
      <c r="G33" s="8" t="s">
        <v>6</v>
      </c>
      <c r="H33" s="8" t="s">
        <v>7</v>
      </c>
      <c r="I33" s="8" t="s">
        <v>8</v>
      </c>
      <c r="J33" s="8" t="s">
        <v>5</v>
      </c>
      <c r="K33" s="8" t="s">
        <v>6</v>
      </c>
      <c r="L33" s="8" t="s">
        <v>7</v>
      </c>
      <c r="M33" s="8" t="s">
        <v>8</v>
      </c>
      <c r="N33" s="8" t="s">
        <v>5</v>
      </c>
      <c r="O33" s="8" t="s">
        <v>6</v>
      </c>
      <c r="P33" s="8" t="s">
        <v>7</v>
      </c>
      <c r="Q33" s="8" t="s">
        <v>8</v>
      </c>
    </row>
    <row r="34" spans="1:17" s="12" customFormat="1" ht="20.100000000000001" customHeight="1" x14ac:dyDescent="0.25">
      <c r="A34" s="6" t="str">
        <f>A6</f>
        <v>COMERCIO Y SUMINISTRO</v>
      </c>
      <c r="B34" s="7">
        <f ca="1">B20-B6</f>
        <v>174481859674.18488</v>
      </c>
      <c r="C34" s="7">
        <f t="shared" ref="C34:M34" ca="1" si="56">C20-C6</f>
        <v>-1521935470.6313629</v>
      </c>
      <c r="D34" s="7">
        <f t="shared" ca="1" si="56"/>
        <v>-1.6326904296875E-3</v>
      </c>
      <c r="E34" s="7">
        <f t="shared" ca="1" si="56"/>
        <v>-209867484.70141795</v>
      </c>
      <c r="F34" s="7">
        <f t="shared" ca="1" si="56"/>
        <v>68032073346545.484</v>
      </c>
      <c r="G34" s="7">
        <f t="shared" ca="1" si="56"/>
        <v>-726007676.42320633</v>
      </c>
      <c r="H34" s="7">
        <f t="shared" ca="1" si="56"/>
        <v>7.8125E-3</v>
      </c>
      <c r="I34" s="7">
        <f t="shared" ca="1" si="56"/>
        <v>-3.692626953125E-3</v>
      </c>
      <c r="J34" s="7">
        <f t="shared" ca="1" si="56"/>
        <v>0</v>
      </c>
      <c r="K34" s="7">
        <f t="shared" ca="1" si="56"/>
        <v>0</v>
      </c>
      <c r="L34" s="7">
        <f t="shared" ca="1" si="56"/>
        <v>0</v>
      </c>
      <c r="M34" s="7">
        <f t="shared" ca="1" si="56"/>
        <v>0</v>
      </c>
      <c r="N34" s="7">
        <f t="shared" ref="N34:Q34" ca="1" si="57">N20-N6</f>
        <v>68206555206219.672</v>
      </c>
      <c r="O34" s="7">
        <f t="shared" ca="1" si="57"/>
        <v>-2247943147.0545731</v>
      </c>
      <c r="P34" s="7">
        <f t="shared" ca="1" si="57"/>
        <v>-2.44140625E-3</v>
      </c>
      <c r="Q34" s="7">
        <f t="shared" ca="1" si="57"/>
        <v>-209867484.70510864</v>
      </c>
    </row>
    <row r="35" spans="1:17" s="12" customFormat="1" ht="20.100000000000001" customHeight="1" x14ac:dyDescent="0.25">
      <c r="A35" s="13" t="str">
        <f t="shared" ref="A35:A40" si="58">A7</f>
        <v>MERCADO NACIONAL</v>
      </c>
      <c r="B35" s="14">
        <f t="shared" ref="B35:Q35" ca="1" si="59">B21-B7</f>
        <v>64821187092.672005</v>
      </c>
      <c r="C35" s="14">
        <f t="shared" ca="1" si="59"/>
        <v>-429445593.27802879</v>
      </c>
      <c r="D35" s="14">
        <f t="shared" ca="1" si="59"/>
        <v>5346358220</v>
      </c>
      <c r="E35" s="14">
        <f t="shared" ca="1" si="59"/>
        <v>-71330870.359999985</v>
      </c>
      <c r="F35" s="14">
        <f t="shared" ca="1" si="59"/>
        <v>137608236835.06396</v>
      </c>
      <c r="G35" s="14">
        <f t="shared" ca="1" si="59"/>
        <v>-196343198.24127954</v>
      </c>
      <c r="H35" s="14">
        <f t="shared" ca="1" si="59"/>
        <v>-4133207362.3096046</v>
      </c>
      <c r="I35" s="14">
        <f t="shared" ca="1" si="59"/>
        <v>4.7352984547615051E-3</v>
      </c>
      <c r="J35" s="14">
        <f t="shared" ca="1" si="59"/>
        <v>-17378993938.489998</v>
      </c>
      <c r="K35" s="14">
        <f t="shared" ca="1" si="59"/>
        <v>-709386931.37699568</v>
      </c>
      <c r="L35" s="14">
        <f t="shared" ca="1" si="59"/>
        <v>-1273938.4899978638</v>
      </c>
      <c r="M35" s="14">
        <f t="shared" ca="1" si="59"/>
        <v>-225100000</v>
      </c>
      <c r="N35" s="14">
        <f t="shared" ca="1" si="59"/>
        <v>185050429989.24597</v>
      </c>
      <c r="O35" s="14">
        <f t="shared" ca="1" si="59"/>
        <v>-1335175722.8963039</v>
      </c>
      <c r="P35" s="14">
        <f t="shared" ca="1" si="59"/>
        <v>1211876919.2003784</v>
      </c>
      <c r="Q35" s="14">
        <f t="shared" ca="1" si="59"/>
        <v>-296430870.35526472</v>
      </c>
    </row>
    <row r="36" spans="1:17" s="12" customFormat="1" ht="20.100000000000001" customHeight="1" x14ac:dyDescent="0.25">
      <c r="A36" s="6" t="str">
        <f t="shared" si="58"/>
        <v>ENT</v>
      </c>
      <c r="B36" s="7">
        <f t="shared" ref="B36:Q36" ca="1" si="60">B22-B8</f>
        <v>21753734332.276352</v>
      </c>
      <c r="C36" s="7">
        <f t="shared" ca="1" si="60"/>
        <v>-28621700.331229586</v>
      </c>
      <c r="D36" s="7">
        <f t="shared" ca="1" si="60"/>
        <v>1273679999.9963522</v>
      </c>
      <c r="E36" s="7">
        <f t="shared" ca="1" si="60"/>
        <v>-10691439.42</v>
      </c>
      <c r="F36" s="7">
        <f t="shared" ca="1" si="60"/>
        <v>2691220776.1636481</v>
      </c>
      <c r="G36" s="7">
        <f t="shared" ca="1" si="60"/>
        <v>17998874.708654422</v>
      </c>
      <c r="H36" s="7">
        <f t="shared" ca="1" si="60"/>
        <v>2691220776.1636481</v>
      </c>
      <c r="I36" s="7">
        <f t="shared" ca="1" si="60"/>
        <v>0</v>
      </c>
      <c r="J36" s="7">
        <f t="shared" ca="1" si="60"/>
        <v>-5712800000</v>
      </c>
      <c r="K36" s="7">
        <f t="shared" ca="1" si="60"/>
        <v>-111880347.23347597</v>
      </c>
      <c r="L36" s="7">
        <f t="shared" ca="1" si="60"/>
        <v>0</v>
      </c>
      <c r="M36" s="7">
        <f t="shared" ca="1" si="60"/>
        <v>-74000000</v>
      </c>
      <c r="N36" s="7">
        <f t="shared" ca="1" si="60"/>
        <v>18732155108.439999</v>
      </c>
      <c r="O36" s="7">
        <f t="shared" ca="1" si="60"/>
        <v>-122503172.85605113</v>
      </c>
      <c r="P36" s="7">
        <f t="shared" ca="1" si="60"/>
        <v>3964900776.1599998</v>
      </c>
      <c r="Q36" s="7">
        <f t="shared" ca="1" si="60"/>
        <v>-84691439.420000002</v>
      </c>
    </row>
    <row r="37" spans="1:17" s="12" customFormat="1" ht="20.100000000000001" customHeight="1" x14ac:dyDescent="0.25">
      <c r="A37" s="13" t="str">
        <f t="shared" si="58"/>
        <v>PDV MARINA</v>
      </c>
      <c r="B37" s="14">
        <f t="shared" ref="B37:Q38" ca="1" si="61">B23-B9</f>
        <v>564947595916.56799</v>
      </c>
      <c r="C37" s="14">
        <f t="shared" ca="1" si="61"/>
        <v>-434389164.84087425</v>
      </c>
      <c r="D37" s="14">
        <f t="shared" ca="1" si="61"/>
        <v>2.288818359375E-5</v>
      </c>
      <c r="E37" s="14">
        <f t="shared" ca="1" si="61"/>
        <v>-294926121.56000006</v>
      </c>
      <c r="F37" s="14">
        <f t="shared" ca="1" si="61"/>
        <v>92528420026.043396</v>
      </c>
      <c r="G37" s="14">
        <f t="shared" ca="1" si="61"/>
        <v>508840902.04252553</v>
      </c>
      <c r="H37" s="14">
        <f t="shared" ca="1" si="61"/>
        <v>92516116826.043396</v>
      </c>
      <c r="I37" s="14">
        <f t="shared" ca="1" si="61"/>
        <v>5200</v>
      </c>
      <c r="J37" s="14">
        <f t="shared" ca="1" si="61"/>
        <v>0</v>
      </c>
      <c r="K37" s="14">
        <f t="shared" ca="1" si="61"/>
        <v>0</v>
      </c>
      <c r="L37" s="14">
        <f t="shared" ca="1" si="61"/>
        <v>0</v>
      </c>
      <c r="M37" s="14">
        <f t="shared" ca="1" si="61"/>
        <v>0</v>
      </c>
      <c r="N37" s="14">
        <f t="shared" ca="1" si="61"/>
        <v>657476015942.61145</v>
      </c>
      <c r="O37" s="14">
        <f t="shared" ca="1" si="61"/>
        <v>74451737.201651335</v>
      </c>
      <c r="P37" s="14">
        <f t="shared" ca="1" si="61"/>
        <v>92516116826.043488</v>
      </c>
      <c r="Q37" s="14">
        <f t="shared" ca="1" si="61"/>
        <v>-294920921.56000006</v>
      </c>
    </row>
    <row r="38" spans="1:17" s="12" customFormat="1" ht="20.100000000000001" customHeight="1" x14ac:dyDescent="0.25">
      <c r="A38" s="6" t="str">
        <f t="shared" si="58"/>
        <v>PDVSA NAVAL</v>
      </c>
      <c r="B38" s="7">
        <f t="shared" ca="1" si="61"/>
        <v>1651917684.4591961</v>
      </c>
      <c r="C38" s="7">
        <f t="shared" ca="1" si="61"/>
        <v>-184697964.20084623</v>
      </c>
      <c r="D38" s="7">
        <f t="shared" ca="1" si="61"/>
        <v>9.9195480346679688E-2</v>
      </c>
      <c r="E38" s="7">
        <f t="shared" ca="1" si="61"/>
        <v>-963617.4600000002</v>
      </c>
      <c r="F38" s="7">
        <f t="shared" ca="1" si="61"/>
        <v>12835253462.341801</v>
      </c>
      <c r="G38" s="7">
        <f t="shared" ca="1" si="61"/>
        <v>166259759.87489378</v>
      </c>
      <c r="H38" s="7">
        <f t="shared" ca="1" si="61"/>
        <v>12835253462.341801</v>
      </c>
      <c r="I38" s="7">
        <f t="shared" ca="1" si="61"/>
        <v>0</v>
      </c>
      <c r="J38" s="7">
        <f t="shared" ca="1" si="61"/>
        <v>-1191078604.276001</v>
      </c>
      <c r="K38" s="7">
        <f t="shared" ca="1" si="61"/>
        <v>-370429369.9645946</v>
      </c>
      <c r="L38" s="7">
        <f t="shared" ca="1" si="61"/>
        <v>0</v>
      </c>
      <c r="M38" s="7">
        <f t="shared" ca="1" si="61"/>
        <v>-15428479.33</v>
      </c>
      <c r="N38" s="7">
        <f t="shared" ca="1" si="61"/>
        <v>13296092542.525002</v>
      </c>
      <c r="O38" s="7">
        <f t="shared" ca="1" si="61"/>
        <v>-388867574.29054701</v>
      </c>
      <c r="P38" s="7">
        <f t="shared" ca="1" si="61"/>
        <v>12835253462.441002</v>
      </c>
      <c r="Q38" s="7">
        <f t="shared" ca="1" si="61"/>
        <v>-16392096.790000001</v>
      </c>
    </row>
    <row r="39" spans="1:17" s="12" customFormat="1" ht="20.100000000000001" customHeight="1" x14ac:dyDescent="0.25">
      <c r="A39" s="13" t="str">
        <f t="shared" si="58"/>
        <v>COMMERCHAMP</v>
      </c>
      <c r="B39" s="14">
        <f t="shared" ref="B39:Q39" ca="1" si="62">B25-B11</f>
        <v>0</v>
      </c>
      <c r="C39" s="14">
        <f t="shared" ca="1" si="62"/>
        <v>-47243.696170270538</v>
      </c>
      <c r="D39" s="14">
        <f t="shared" ca="1" si="62"/>
        <v>0</v>
      </c>
      <c r="E39" s="14">
        <f t="shared" ca="1" si="62"/>
        <v>0</v>
      </c>
      <c r="F39" s="14">
        <f t="shared" ca="1" si="62"/>
        <v>4.5013427734375E-4</v>
      </c>
      <c r="G39" s="14">
        <f t="shared" ca="1" si="62"/>
        <v>-187017227.05977869</v>
      </c>
      <c r="H39" s="14">
        <f t="shared" ca="1" si="62"/>
        <v>4.5013427734375E-4</v>
      </c>
      <c r="I39" s="14">
        <f t="shared" ca="1" si="62"/>
        <v>0</v>
      </c>
      <c r="J39" s="14">
        <f t="shared" ca="1" si="62"/>
        <v>0</v>
      </c>
      <c r="K39" s="14">
        <f t="shared" ca="1" si="62"/>
        <v>0</v>
      </c>
      <c r="L39" s="14">
        <f t="shared" ca="1" si="62"/>
        <v>0</v>
      </c>
      <c r="M39" s="14">
        <f t="shared" ca="1" si="62"/>
        <v>0</v>
      </c>
      <c r="N39" s="14">
        <f t="shared" ca="1" si="62"/>
        <v>4.5013427734375E-4</v>
      </c>
      <c r="O39" s="14">
        <f t="shared" ca="1" si="62"/>
        <v>-187064470.75594896</v>
      </c>
      <c r="P39" s="14">
        <f t="shared" ca="1" si="62"/>
        <v>4.5013427734375E-4</v>
      </c>
      <c r="Q39" s="14">
        <f t="shared" ca="1" si="62"/>
        <v>0</v>
      </c>
    </row>
    <row r="40" spans="1:17" s="12" customFormat="1" ht="20.100000000000001" customHeight="1" x14ac:dyDescent="0.25">
      <c r="A40" s="6" t="str">
        <f t="shared" si="58"/>
        <v>COMERCIT</v>
      </c>
      <c r="B40" s="7">
        <f t="shared" ref="B40:Q40" ca="1" si="63">B26-B12</f>
        <v>14868519450.18</v>
      </c>
      <c r="C40" s="7">
        <f t="shared" ca="1" si="63"/>
        <v>-7761985.0168300951</v>
      </c>
      <c r="D40" s="7">
        <f t="shared" ca="1" si="63"/>
        <v>0</v>
      </c>
      <c r="E40" s="7">
        <f t="shared" ca="1" si="63"/>
        <v>-7761985.0168300951</v>
      </c>
      <c r="F40" s="7">
        <f t="shared" ca="1" si="63"/>
        <v>336015061966.39105</v>
      </c>
      <c r="G40" s="7">
        <f t="shared" ca="1" si="63"/>
        <v>16314.455282717943</v>
      </c>
      <c r="H40" s="7">
        <f t="shared" ca="1" si="63"/>
        <v>38600000</v>
      </c>
      <c r="I40" s="7">
        <f t="shared" ca="1" si="63"/>
        <v>5.067288875579834E-4</v>
      </c>
      <c r="J40" s="7">
        <f t="shared" ca="1" si="63"/>
        <v>0</v>
      </c>
      <c r="K40" s="7">
        <f t="shared" ca="1" si="63"/>
        <v>0</v>
      </c>
      <c r="L40" s="7">
        <f t="shared" ca="1" si="63"/>
        <v>0</v>
      </c>
      <c r="M40" s="7">
        <f t="shared" ca="1" si="63"/>
        <v>0</v>
      </c>
      <c r="N40" s="7">
        <f t="shared" ca="1" si="63"/>
        <v>350883581416.57104</v>
      </c>
      <c r="O40" s="7">
        <f t="shared" ca="1" si="63"/>
        <v>-7745670.5615473986</v>
      </c>
      <c r="P40" s="7">
        <f t="shared" ca="1" si="63"/>
        <v>38599999.999938965</v>
      </c>
      <c r="Q40" s="7">
        <f t="shared" ca="1" si="63"/>
        <v>-7761985.0163233578</v>
      </c>
    </row>
    <row r="41" spans="1:17" s="12" customFormat="1" ht="20.100000000000001" customHeight="1" x14ac:dyDescent="0.25">
      <c r="A41" s="18" t="s">
        <v>38</v>
      </c>
      <c r="B41" s="19">
        <f ca="1">SUM(B34:B40)</f>
        <v>842524814150.34045</v>
      </c>
      <c r="C41" s="19">
        <f t="shared" ref="C41" ca="1" si="64">SUM(C34:C40)</f>
        <v>-2606899121.9953423</v>
      </c>
      <c r="D41" s="19">
        <f t="shared" ref="D41" ca="1" si="65">SUM(D34:D40)</f>
        <v>6620038220.0939379</v>
      </c>
      <c r="E41" s="19">
        <f t="shared" ref="E41" ca="1" si="66">SUM(E34:E40)</f>
        <v>-595541518.5182482</v>
      </c>
      <c r="F41" s="19">
        <f t="shared" ref="F41" ca="1" si="67">SUM(F34:F40)</f>
        <v>68613751539611.492</v>
      </c>
      <c r="G41" s="19">
        <f t="shared" ref="G41" ca="1" si="68">SUM(G34:G40)</f>
        <v>-416252250.64290822</v>
      </c>
      <c r="H41" s="19">
        <f t="shared" ref="H41" ca="1" si="69">SUM(H34:H40)</f>
        <v>103947983702.2475</v>
      </c>
      <c r="I41" s="19">
        <f t="shared" ref="I41" ca="1" si="70">SUM(I34:I40)</f>
        <v>5200.0015494003892</v>
      </c>
      <c r="J41" s="19">
        <f t="shared" ref="J41" ca="1" si="71">SUM(J34:J40)</f>
        <v>-24282872542.765999</v>
      </c>
      <c r="K41" s="19">
        <f t="shared" ref="K41" ca="1" si="72">SUM(K34:K40)</f>
        <v>-1191696648.5750661</v>
      </c>
      <c r="L41" s="19">
        <f t="shared" ref="L41" ca="1" si="73">SUM(L34:L40)</f>
        <v>-1273938.4899978638</v>
      </c>
      <c r="M41" s="19">
        <f t="shared" ref="M41" ca="1" si="74">SUM(M34:M40)</f>
        <v>-314528479.32999998</v>
      </c>
      <c r="N41" s="19">
        <f t="shared" ref="N41" ca="1" si="75">SUM(N34:N40)</f>
        <v>69431993481219.055</v>
      </c>
      <c r="O41" s="19">
        <f t="shared" ref="O41" ca="1" si="76">SUM(O34:O40)</f>
        <v>-4214848021.2133203</v>
      </c>
      <c r="P41" s="19">
        <f t="shared" ref="P41" ca="1" si="77">SUM(P34:P40)</f>
        <v>110566747983.84283</v>
      </c>
      <c r="Q41" s="19">
        <f t="shared" ref="Q41" ca="1" si="78">SUM(Q34:Q40)</f>
        <v>-910064797.84669673</v>
      </c>
    </row>
    <row r="43" spans="1:17" s="12" customFormat="1" x14ac:dyDescent="0.25">
      <c r="A43" s="11" t="s">
        <v>40</v>
      </c>
    </row>
    <row r="44" spans="1:17" s="12" customFormat="1" x14ac:dyDescent="0.25">
      <c r="A44" s="5" t="s">
        <v>25</v>
      </c>
      <c r="B44" s="32" t="str">
        <f>B30</f>
        <v>Original 2019 vs. Original Sometido 2019</v>
      </c>
      <c r="C44" s="33"/>
    </row>
    <row r="45" spans="1:17" s="12" customFormat="1" x14ac:dyDescent="0.25">
      <c r="E45" s="9" t="s">
        <v>13</v>
      </c>
      <c r="I45" s="9" t="s">
        <v>14</v>
      </c>
      <c r="M45" s="9" t="s">
        <v>15</v>
      </c>
    </row>
    <row r="46" spans="1:17" s="12" customFormat="1" ht="20.100000000000001" customHeight="1" x14ac:dyDescent="0.25">
      <c r="A46" s="31" t="s">
        <v>24</v>
      </c>
      <c r="B46" s="31" t="s">
        <v>19</v>
      </c>
      <c r="C46" s="31"/>
      <c r="D46" s="31"/>
      <c r="E46" s="31"/>
      <c r="F46" s="31" t="s">
        <v>20</v>
      </c>
      <c r="G46" s="31"/>
      <c r="H46" s="31"/>
      <c r="I46" s="31"/>
      <c r="J46" s="31" t="s">
        <v>21</v>
      </c>
      <c r="K46" s="31"/>
      <c r="L46" s="31"/>
      <c r="M46" s="31"/>
      <c r="N46" s="31" t="s">
        <v>22</v>
      </c>
      <c r="O46" s="31" t="s">
        <v>23</v>
      </c>
      <c r="P46" s="31"/>
      <c r="Q46" s="31"/>
    </row>
    <row r="47" spans="1:17" s="12" customFormat="1" ht="20.100000000000001" customHeight="1" x14ac:dyDescent="0.25">
      <c r="A47" s="31"/>
      <c r="B47" s="8" t="s">
        <v>5</v>
      </c>
      <c r="C47" s="8" t="s">
        <v>6</v>
      </c>
      <c r="D47" s="8" t="s">
        <v>7</v>
      </c>
      <c r="E47" s="8" t="s">
        <v>8</v>
      </c>
      <c r="F47" s="8" t="s">
        <v>5</v>
      </c>
      <c r="G47" s="8" t="s">
        <v>6</v>
      </c>
      <c r="H47" s="8" t="s">
        <v>7</v>
      </c>
      <c r="I47" s="8" t="s">
        <v>8</v>
      </c>
      <c r="J47" s="8" t="s">
        <v>5</v>
      </c>
      <c r="K47" s="8" t="s">
        <v>6</v>
      </c>
      <c r="L47" s="8" t="s">
        <v>7</v>
      </c>
      <c r="M47" s="8" t="s">
        <v>8</v>
      </c>
      <c r="N47" s="8" t="s">
        <v>5</v>
      </c>
      <c r="O47" s="8" t="s">
        <v>6</v>
      </c>
      <c r="P47" s="8" t="s">
        <v>7</v>
      </c>
      <c r="Q47" s="8" t="s">
        <v>8</v>
      </c>
    </row>
    <row r="48" spans="1:17" s="12" customFormat="1" ht="20.100000000000001" customHeight="1" x14ac:dyDescent="0.25">
      <c r="A48" s="6" t="str">
        <f>A6</f>
        <v>COMERCIO Y SUMINISTRO</v>
      </c>
      <c r="B48" s="26">
        <f ca="1">IF(B20=0,"",B34/B20)</f>
        <v>0.57809246045964746</v>
      </c>
      <c r="C48" s="26">
        <f t="shared" ref="C48:Q48" ca="1" si="79">IF(C20=0,"",C34/C20)</f>
        <v>-11.930482364669354</v>
      </c>
      <c r="D48" s="26">
        <f t="shared" ca="1" si="79"/>
        <v>-1.5592771413092427E-14</v>
      </c>
      <c r="E48" s="26">
        <f t="shared" ca="1" si="79"/>
        <v>-2.5190662683599498</v>
      </c>
      <c r="F48" s="26">
        <f t="shared" ca="1" si="79"/>
        <v>0.96657478393585294</v>
      </c>
      <c r="G48" s="26">
        <f t="shared" ca="1" si="79"/>
        <v>-2.4404937924503933E-2</v>
      </c>
      <c r="H48" s="26">
        <f t="shared" ca="1" si="79"/>
        <v>1.3484182500138368E-13</v>
      </c>
      <c r="I48" s="26">
        <f t="shared" ca="1" si="79"/>
        <v>-1.2423088338438273E-13</v>
      </c>
      <c r="J48" s="26" t="str">
        <f t="shared" ca="1" si="79"/>
        <v/>
      </c>
      <c r="K48" s="26" t="str">
        <f t="shared" ca="1" si="79"/>
        <v/>
      </c>
      <c r="L48" s="26" t="str">
        <f t="shared" ca="1" si="79"/>
        <v/>
      </c>
      <c r="M48" s="26" t="str">
        <f t="shared" ca="1" si="79"/>
        <v/>
      </c>
      <c r="N48" s="26">
        <f t="shared" ca="1" si="79"/>
        <v>0.96491600835142355</v>
      </c>
      <c r="O48" s="26">
        <f t="shared" ca="1" si="79"/>
        <v>-7.524254197580249E-2</v>
      </c>
      <c r="P48" s="26">
        <f t="shared" ca="1" si="79"/>
        <v>-1.5010513633940377E-14</v>
      </c>
      <c r="Q48" s="26">
        <f t="shared" ca="1" si="79"/>
        <v>-7.0408280210921201E-3</v>
      </c>
    </row>
    <row r="49" spans="1:17" s="12" customFormat="1" ht="20.100000000000001" customHeight="1" x14ac:dyDescent="0.25">
      <c r="A49" s="13" t="str">
        <f t="shared" ref="A49:A54" si="80">A7</f>
        <v>MERCADO NACIONAL</v>
      </c>
      <c r="B49" s="27">
        <f t="shared" ref="B49:Q49" ca="1" si="81">IF(B21=0,"",B35/B21)</f>
        <v>0.64002587237401787</v>
      </c>
      <c r="C49" s="27">
        <f t="shared" ca="1" si="81"/>
        <v>-10.032367693822197</v>
      </c>
      <c r="D49" s="27">
        <f t="shared" ca="1" si="81"/>
        <v>0.15675874907825343</v>
      </c>
      <c r="E49" s="27">
        <f t="shared" ca="1" si="81"/>
        <v>-2.5124368477574879</v>
      </c>
      <c r="F49" s="27">
        <f t="shared" ca="1" si="81"/>
        <v>0.8713868897742395</v>
      </c>
      <c r="G49" s="27">
        <f t="shared" ca="1" si="81"/>
        <v>-2.9416919532920924</v>
      </c>
      <c r="H49" s="27">
        <f t="shared" ca="1" si="81"/>
        <v>-0.36267856422261407</v>
      </c>
      <c r="I49" s="27">
        <f t="shared" ca="1" si="81"/>
        <v>7.6464235034843208E-11</v>
      </c>
      <c r="J49" s="27">
        <f t="shared" ca="1" si="81"/>
        <v>-0.44968922840426462</v>
      </c>
      <c r="K49" s="27">
        <f t="shared" ca="1" si="81"/>
        <v>-43.42959474617215</v>
      </c>
      <c r="L49" s="27">
        <f t="shared" ca="1" si="81"/>
        <v>-3.2963727280717877E-5</v>
      </c>
      <c r="M49" s="27" t="str">
        <f t="shared" ca="1" si="81"/>
        <v/>
      </c>
      <c r="N49" s="27">
        <f t="shared" ca="1" si="81"/>
        <v>0.62129914987883772</v>
      </c>
      <c r="O49" s="27">
        <f t="shared" ca="1" si="81"/>
        <v>-10.606298074956864</v>
      </c>
      <c r="P49" s="27">
        <f t="shared" ca="1" si="81"/>
        <v>1.4401619001013149E-2</v>
      </c>
      <c r="Q49" s="27">
        <f t="shared" ca="1" si="81"/>
        <v>-3.2820292018716057</v>
      </c>
    </row>
    <row r="50" spans="1:17" s="12" customFormat="1" ht="20.100000000000001" customHeight="1" x14ac:dyDescent="0.25">
      <c r="A50" s="6" t="str">
        <f t="shared" si="80"/>
        <v>ENT</v>
      </c>
      <c r="B50" s="26">
        <f t="shared" ref="B50:Q50" ca="1" si="82">IF(B22=0,"",B36/B22)</f>
        <v>0.87817235983020603</v>
      </c>
      <c r="C50" s="26">
        <f t="shared" ca="1" si="82"/>
        <v>-2.7337331171208881</v>
      </c>
      <c r="D50" s="26">
        <f t="shared" ca="1" si="82"/>
        <v>0.46357011128058001</v>
      </c>
      <c r="E50" s="26">
        <f t="shared" ca="1" si="82"/>
        <v>-1.1485599011915115</v>
      </c>
      <c r="F50" s="26">
        <f t="shared" ca="1" si="82"/>
        <v>1.9999952981475664</v>
      </c>
      <c r="G50" s="26">
        <f t="shared" ca="1" si="82"/>
        <v>31.647524292968161</v>
      </c>
      <c r="H50" s="26">
        <f t="shared" ca="1" si="82"/>
        <v>1.9999952981475664</v>
      </c>
      <c r="I50" s="26" t="str">
        <f t="shared" ca="1" si="82"/>
        <v/>
      </c>
      <c r="J50" s="26">
        <f t="shared" ca="1" si="82"/>
        <v>-1.8897783658617269</v>
      </c>
      <c r="K50" s="26">
        <f t="shared" ca="1" si="82"/>
        <v>-87.56496908845655</v>
      </c>
      <c r="L50" s="26">
        <f t="shared" ca="1" si="82"/>
        <v>0</v>
      </c>
      <c r="M50" s="26" t="str">
        <f t="shared" ca="1" si="82"/>
        <v/>
      </c>
      <c r="N50" s="26">
        <f t="shared" ca="1" si="82"/>
        <v>0.64282834255677168</v>
      </c>
      <c r="O50" s="26">
        <f t="shared" ca="1" si="82"/>
        <v>-9.946478516977697</v>
      </c>
      <c r="P50" s="26">
        <f t="shared" ca="1" si="82"/>
        <v>0.5571686516880856</v>
      </c>
      <c r="Q50" s="26">
        <f t="shared" ca="1" si="82"/>
        <v>-9.0982315356001049</v>
      </c>
    </row>
    <row r="51" spans="1:17" s="12" customFormat="1" ht="20.100000000000001" customHeight="1" x14ac:dyDescent="0.25">
      <c r="A51" s="13" t="str">
        <f t="shared" si="80"/>
        <v>PDV MARINA</v>
      </c>
      <c r="B51" s="27">
        <f t="shared" ref="B51:Q52" ca="1" si="83">IF(B23=0,"",B37/B23)</f>
        <v>0.91316626168193338</v>
      </c>
      <c r="C51" s="27">
        <f t="shared" ca="1" si="83"/>
        <v>-1.6612516173645804</v>
      </c>
      <c r="D51" s="27">
        <f t="shared" ca="1" si="83"/>
        <v>2.0564965947030688E-15</v>
      </c>
      <c r="E51" s="27">
        <f t="shared" ca="1" si="83"/>
        <v>-1.1485599005226486</v>
      </c>
      <c r="F51" s="27">
        <f t="shared" ca="1" si="83"/>
        <v>1.6810555284643307</v>
      </c>
      <c r="G51" s="27">
        <f t="shared" ca="1" si="83"/>
        <v>21.87276399412703</v>
      </c>
      <c r="H51" s="27">
        <f t="shared" ca="1" si="83"/>
        <v>1.681207795048671</v>
      </c>
      <c r="I51" s="27">
        <f t="shared" ca="1" si="83"/>
        <v>1</v>
      </c>
      <c r="J51" s="27" t="str">
        <f t="shared" ca="1" si="83"/>
        <v/>
      </c>
      <c r="K51" s="27" t="str">
        <f t="shared" ca="1" si="83"/>
        <v/>
      </c>
      <c r="L51" s="27" t="str">
        <f t="shared" ca="1" si="83"/>
        <v/>
      </c>
      <c r="M51" s="27" t="str">
        <f t="shared" ca="1" si="83"/>
        <v/>
      </c>
      <c r="N51" s="27">
        <f t="shared" ca="1" si="83"/>
        <v>0.97590245760877847</v>
      </c>
      <c r="O51" s="27">
        <f t="shared" ca="1" si="83"/>
        <v>0.26146651168873136</v>
      </c>
      <c r="P51" s="27">
        <f t="shared" ca="1" si="83"/>
        <v>1.3983851735117794</v>
      </c>
      <c r="Q51" s="27">
        <f t="shared" ca="1" si="83"/>
        <v>-1.1485163911897034</v>
      </c>
    </row>
    <row r="52" spans="1:17" s="12" customFormat="1" ht="20.100000000000001" customHeight="1" x14ac:dyDescent="0.25">
      <c r="A52" s="6" t="str">
        <f t="shared" si="80"/>
        <v>PDVSA NAVAL</v>
      </c>
      <c r="B52" s="26">
        <f t="shared" ca="1" si="83"/>
        <v>0.10043727825735538</v>
      </c>
      <c r="C52" s="26">
        <f t="shared" ca="1" si="83"/>
        <v>-26.569499995376905</v>
      </c>
      <c r="D52" s="26">
        <f t="shared" ca="1" si="83"/>
        <v>6.7651485819450283E-12</v>
      </c>
      <c r="E52" s="26">
        <f t="shared" ca="1" si="83"/>
        <v>-1.2775972919246579</v>
      </c>
      <c r="F52" s="26" t="str">
        <f t="shared" ca="1" si="83"/>
        <v/>
      </c>
      <c r="G52" s="26" t="str">
        <f t="shared" ca="1" si="83"/>
        <v/>
      </c>
      <c r="H52" s="26" t="str">
        <f t="shared" ca="1" si="83"/>
        <v/>
      </c>
      <c r="I52" s="26" t="str">
        <f t="shared" ca="1" si="83"/>
        <v/>
      </c>
      <c r="J52" s="26">
        <f t="shared" ca="1" si="83"/>
        <v>-4.204233078609159E-2</v>
      </c>
      <c r="K52" s="26">
        <f t="shared" ca="1" si="83"/>
        <v>-30.936167806216229</v>
      </c>
      <c r="L52" s="26">
        <f t="shared" ca="1" si="83"/>
        <v>0</v>
      </c>
      <c r="M52" s="26" t="str">
        <f t="shared" ca="1" si="83"/>
        <v/>
      </c>
      <c r="N52" s="26">
        <f t="shared" ca="1" si="83"/>
        <v>0.29693546978611701</v>
      </c>
      <c r="O52" s="26">
        <f t="shared" ca="1" si="83"/>
        <v>-20.54728858142548</v>
      </c>
      <c r="P52" s="26">
        <f t="shared" ca="1" si="83"/>
        <v>0.29854161014638742</v>
      </c>
      <c r="Q52" s="26">
        <f t="shared" ca="1" si="83"/>
        <v>-21.733207768849347</v>
      </c>
    </row>
    <row r="53" spans="1:17" s="12" customFormat="1" ht="20.100000000000001" customHeight="1" x14ac:dyDescent="0.25">
      <c r="A53" s="13" t="str">
        <f t="shared" si="80"/>
        <v>COMMERCHAMP</v>
      </c>
      <c r="B53" s="27">
        <f t="shared" ref="B53:Q53" ca="1" si="84">IF(B25=0,"",B39/B25)</f>
        <v>0</v>
      </c>
      <c r="C53" s="27">
        <f t="shared" ca="1" si="84"/>
        <v>-29.647668393782382</v>
      </c>
      <c r="D53" s="27">
        <f t="shared" ca="1" si="84"/>
        <v>0</v>
      </c>
      <c r="E53" s="27" t="str">
        <f t="shared" ca="1" si="84"/>
        <v/>
      </c>
      <c r="F53" s="27">
        <f t="shared" ca="1" si="84"/>
        <v>3.01603429945686E-14</v>
      </c>
      <c r="G53" s="27">
        <f t="shared" ca="1" si="84"/>
        <v>-29.647668393781458</v>
      </c>
      <c r="H53" s="27">
        <f t="shared" ca="1" si="84"/>
        <v>3.01603429945686E-14</v>
      </c>
      <c r="I53" s="27" t="str">
        <f t="shared" ca="1" si="84"/>
        <v/>
      </c>
      <c r="J53" s="27" t="str">
        <f t="shared" ca="1" si="84"/>
        <v/>
      </c>
      <c r="K53" s="27" t="str">
        <f t="shared" ca="1" si="84"/>
        <v/>
      </c>
      <c r="L53" s="27" t="str">
        <f t="shared" ca="1" si="84"/>
        <v/>
      </c>
      <c r="M53" s="27" t="str">
        <f t="shared" ca="1" si="84"/>
        <v/>
      </c>
      <c r="N53" s="27">
        <f t="shared" ca="1" si="84"/>
        <v>3.0152725908998752E-14</v>
      </c>
      <c r="O53" s="27">
        <f t="shared" ca="1" si="84"/>
        <v>-29.647668393781458</v>
      </c>
      <c r="P53" s="27">
        <f t="shared" ca="1" si="84"/>
        <v>3.0152725908998752E-14</v>
      </c>
      <c r="Q53" s="27" t="str">
        <f t="shared" ca="1" si="84"/>
        <v/>
      </c>
    </row>
    <row r="54" spans="1:17" s="12" customFormat="1" ht="20.100000000000001" customHeight="1" x14ac:dyDescent="0.25">
      <c r="A54" s="6" t="str">
        <f t="shared" si="80"/>
        <v>COMERCIT</v>
      </c>
      <c r="B54" s="26">
        <f t="shared" ref="B54:Q54" ca="1" si="85">IF(B26=0,"",B40/B26)</f>
        <v>0.92989483333867706</v>
      </c>
      <c r="C54" s="26">
        <f t="shared" ca="1" si="85"/>
        <v>-1.1485599005270728</v>
      </c>
      <c r="D54" s="26" t="str">
        <f t="shared" ca="1" si="85"/>
        <v/>
      </c>
      <c r="E54" s="26">
        <f t="shared" ca="1" si="85"/>
        <v>-1.1485599005270728</v>
      </c>
      <c r="F54" s="26">
        <f t="shared" ca="1" si="85"/>
        <v>0.96737471643186301</v>
      </c>
      <c r="G54" s="26">
        <f t="shared" ca="1" si="85"/>
        <v>1.1112795062085835E-4</v>
      </c>
      <c r="H54" s="26">
        <f t="shared" ca="1" si="85"/>
        <v>1</v>
      </c>
      <c r="I54" s="26">
        <f t="shared" ca="1" si="85"/>
        <v>3.4520307495793155E-12</v>
      </c>
      <c r="J54" s="26" t="str">
        <f t="shared" ca="1" si="85"/>
        <v/>
      </c>
      <c r="K54" s="26" t="str">
        <f t="shared" ca="1" si="85"/>
        <v/>
      </c>
      <c r="L54" s="26" t="str">
        <f t="shared" ca="1" si="85"/>
        <v/>
      </c>
      <c r="M54" s="26" t="str">
        <f t="shared" ca="1" si="85"/>
        <v/>
      </c>
      <c r="N54" s="26">
        <f t="shared" ca="1" si="85"/>
        <v>0.96572532895342589</v>
      </c>
      <c r="O54" s="26">
        <f t="shared" ca="1" si="85"/>
        <v>-5.0438752541375566E-2</v>
      </c>
      <c r="P54" s="26">
        <f t="shared" ca="1" si="85"/>
        <v>1</v>
      </c>
      <c r="Q54" s="26">
        <f t="shared" ca="1" si="85"/>
        <v>-5.0550360394919107E-2</v>
      </c>
    </row>
    <row r="55" spans="1:17" s="12" customFormat="1" ht="20.100000000000001" customHeight="1" x14ac:dyDescent="0.25">
      <c r="A55" s="18" t="s">
        <v>38</v>
      </c>
      <c r="B55" s="20">
        <f t="shared" ref="B55:Q55" ca="1" si="86">IF(B27=0,"",B41/B27)</f>
        <v>0.78085052196412841</v>
      </c>
      <c r="C55" s="20">
        <f t="shared" ca="1" si="86"/>
        <v>-5.7164205315138901</v>
      </c>
      <c r="D55" s="20">
        <f t="shared" ca="1" si="86"/>
        <v>3.9556259317661858E-2</v>
      </c>
      <c r="E55" s="20">
        <f t="shared" ca="1" si="86"/>
        <v>-1.5456462662913391</v>
      </c>
      <c r="F55" s="20">
        <f t="shared" ca="1" si="86"/>
        <v>0.96691824241732804</v>
      </c>
      <c r="G55" s="20">
        <f t="shared" ca="1" si="86"/>
        <v>-1.3878736277222871E-2</v>
      </c>
      <c r="H55" s="20">
        <f t="shared" ca="1" si="86"/>
        <v>0.73893308368178956</v>
      </c>
      <c r="I55" s="20">
        <f t="shared" ca="1" si="86"/>
        <v>1.7372351106355818E-7</v>
      </c>
      <c r="J55" s="20">
        <f t="shared" ca="1" si="86"/>
        <v>-0.34689750094071714</v>
      </c>
      <c r="K55" s="20">
        <f t="shared" ca="1" si="86"/>
        <v>-40.279267969245289</v>
      </c>
      <c r="L55" s="20">
        <f t="shared" ca="1" si="86"/>
        <v>-1.8199085703478764E-5</v>
      </c>
      <c r="M55" s="20" t="str">
        <f t="shared" ca="1" si="86"/>
        <v/>
      </c>
      <c r="N55" s="20">
        <f t="shared" ca="1" si="86"/>
        <v>0.96285874681799821</v>
      </c>
      <c r="O55" s="20">
        <f t="shared" ca="1" si="86"/>
        <v>-0.13829281125150733</v>
      </c>
      <c r="P55" s="20">
        <f t="shared" ca="1" si="86"/>
        <v>0.29248083602924552</v>
      </c>
      <c r="Q55" s="20">
        <f t="shared" ca="1" si="86"/>
        <v>-3.0017376682301641E-2</v>
      </c>
    </row>
  </sheetData>
  <mergeCells count="22">
    <mergeCell ref="N46:Q46"/>
    <mergeCell ref="B44:C44"/>
    <mergeCell ref="A46:A47"/>
    <mergeCell ref="B46:E46"/>
    <mergeCell ref="F46:I46"/>
    <mergeCell ref="J46:M46"/>
    <mergeCell ref="N4:Q4"/>
    <mergeCell ref="A32:A33"/>
    <mergeCell ref="B32:E32"/>
    <mergeCell ref="F32:I32"/>
    <mergeCell ref="J32:M32"/>
    <mergeCell ref="N32:Q32"/>
    <mergeCell ref="A18:A19"/>
    <mergeCell ref="B18:E18"/>
    <mergeCell ref="F18:I18"/>
    <mergeCell ref="J18:M18"/>
    <mergeCell ref="N18:Q18"/>
    <mergeCell ref="B30:C30"/>
    <mergeCell ref="A4:A5"/>
    <mergeCell ref="B4:E4"/>
    <mergeCell ref="F4:I4"/>
    <mergeCell ref="J4:M4"/>
  </mergeCells>
  <dataValidations count="3">
    <dataValidation type="list" allowBlank="1" showInputMessage="1" showErrorMessage="1" sqref="B16">
      <formula1>Evento</formula1>
    </dataValidation>
    <dataValidation type="list" allowBlank="1" showInputMessage="1" showErrorMessage="1" sqref="B2">
      <formula1>EventoSometido</formula1>
    </dataValidation>
    <dataValidation type="list" allowBlank="1" showInputMessage="1" showErrorMessage="1" sqref="A6:A12">
      <formula1>NegocioFilial</formula1>
    </dataValidation>
  </dataValidations>
  <pageMargins left="0" right="0" top="0" bottom="0" header="0.31496062992125984" footer="0.31496062992125984"/>
  <pageSetup scale="62" fitToWidth="2" fitToHeight="2" orientation="landscape" r:id="rId1"/>
  <colBreaks count="1" manualBreakCount="1">
    <brk id="9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2" tint="-0.499984740745262"/>
  </sheetPr>
  <dimension ref="A1:F10"/>
  <sheetViews>
    <sheetView workbookViewId="0">
      <pane ySplit="1" topLeftCell="A2" activePane="bottomLeft" state="frozen"/>
      <selection pane="bottomLeft" activeCell="D7" sqref="D7"/>
    </sheetView>
  </sheetViews>
  <sheetFormatPr baseColWidth="10" defaultColWidth="9.140625" defaultRowHeight="11.25" x14ac:dyDescent="0.25"/>
  <cols>
    <col min="1" max="1" width="17.5703125" style="1" bestFit="1" customWidth="1"/>
    <col min="2" max="2" width="11" style="1" customWidth="1"/>
    <col min="3" max="3" width="18.42578125" style="12" bestFit="1" customWidth="1"/>
    <col min="4" max="4" width="11.140625" style="17" customWidth="1"/>
    <col min="5" max="5" width="11.7109375" style="1" customWidth="1"/>
    <col min="6" max="6" width="11.140625" style="17" customWidth="1"/>
    <col min="7" max="16384" width="9.140625" style="1"/>
  </cols>
  <sheetData>
    <row r="1" spans="1:6" s="16" customFormat="1" ht="24.95" customHeight="1" x14ac:dyDescent="0.25">
      <c r="A1" s="15" t="s">
        <v>9</v>
      </c>
      <c r="B1" s="15" t="s">
        <v>32</v>
      </c>
      <c r="C1" s="15" t="s">
        <v>33</v>
      </c>
      <c r="D1" s="15" t="s">
        <v>35</v>
      </c>
      <c r="E1" s="15" t="s">
        <v>34</v>
      </c>
      <c r="F1" s="15" t="s">
        <v>36</v>
      </c>
    </row>
    <row r="2" spans="1:6" x14ac:dyDescent="0.25">
      <c r="A2" s="1" t="s">
        <v>59</v>
      </c>
      <c r="B2" s="1" t="s">
        <v>13</v>
      </c>
      <c r="C2" s="12" t="s">
        <v>37</v>
      </c>
      <c r="D2" s="17">
        <v>10</v>
      </c>
      <c r="E2" s="1" t="s">
        <v>60</v>
      </c>
      <c r="F2" s="17">
        <v>2366</v>
      </c>
    </row>
    <row r="3" spans="1:6" x14ac:dyDescent="0.25">
      <c r="A3" s="1" t="s">
        <v>2</v>
      </c>
      <c r="B3" s="1" t="s">
        <v>14</v>
      </c>
      <c r="C3" s="12" t="s">
        <v>39</v>
      </c>
      <c r="D3" s="17">
        <v>10</v>
      </c>
      <c r="E3" s="1" t="s">
        <v>51</v>
      </c>
      <c r="F3" s="17">
        <v>60</v>
      </c>
    </row>
    <row r="4" spans="1:6" x14ac:dyDescent="0.25">
      <c r="A4" s="1" t="s">
        <v>18</v>
      </c>
      <c r="B4" s="1" t="s">
        <v>15</v>
      </c>
      <c r="C4" s="12" t="s">
        <v>44</v>
      </c>
      <c r="D4" s="17">
        <v>10</v>
      </c>
      <c r="E4" s="1" t="s">
        <v>43</v>
      </c>
      <c r="F4" s="17">
        <v>10</v>
      </c>
    </row>
    <row r="5" spans="1:6" x14ac:dyDescent="0.25">
      <c r="A5" s="1" t="s">
        <v>1</v>
      </c>
      <c r="B5" s="1" t="s">
        <v>17</v>
      </c>
      <c r="C5" s="12" t="s">
        <v>45</v>
      </c>
      <c r="D5" s="17">
        <v>10</v>
      </c>
      <c r="E5" s="1" t="s">
        <v>42</v>
      </c>
      <c r="F5" s="17">
        <v>10</v>
      </c>
    </row>
    <row r="6" spans="1:6" x14ac:dyDescent="0.25">
      <c r="A6" s="1" t="s">
        <v>3</v>
      </c>
      <c r="C6" s="12" t="s">
        <v>54</v>
      </c>
      <c r="D6" s="23">
        <v>1E-4</v>
      </c>
      <c r="E6" s="1" t="s">
        <v>50</v>
      </c>
      <c r="F6" s="17">
        <v>10</v>
      </c>
    </row>
    <row r="7" spans="1:6" x14ac:dyDescent="0.25">
      <c r="A7" s="1" t="s">
        <v>11</v>
      </c>
      <c r="C7" s="12" t="s">
        <v>61</v>
      </c>
      <c r="D7" s="17">
        <v>77.2</v>
      </c>
      <c r="E7" s="1" t="s">
        <v>29</v>
      </c>
      <c r="F7" s="17">
        <v>10</v>
      </c>
    </row>
    <row r="8" spans="1:6" x14ac:dyDescent="0.25">
      <c r="A8" s="12" t="s">
        <v>0</v>
      </c>
      <c r="E8" s="1" t="s">
        <v>26</v>
      </c>
      <c r="F8" s="17">
        <v>10</v>
      </c>
    </row>
    <row r="9" spans="1:6" x14ac:dyDescent="0.25">
      <c r="A9" s="12" t="s">
        <v>52</v>
      </c>
    </row>
    <row r="10" spans="1:6" x14ac:dyDescent="0.25">
      <c r="A10" s="1" t="s">
        <v>10</v>
      </c>
    </row>
  </sheetData>
  <sortState ref="A2:A10">
    <sortCondition ref="A2"/>
  </sortState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70C0"/>
  </sheetPr>
  <dimension ref="A1:J92"/>
  <sheetViews>
    <sheetView workbookViewId="0">
      <pane xSplit="4" ySplit="1" topLeftCell="E55" activePane="bottomRight" state="frozen"/>
      <selection pane="topRight" activeCell="E1" sqref="E1"/>
      <selection pane="bottomLeft" activeCell="A2" sqref="A2"/>
      <selection pane="bottomRight" activeCell="C90" sqref="C90"/>
    </sheetView>
  </sheetViews>
  <sheetFormatPr baseColWidth="10" defaultRowHeight="11.25" x14ac:dyDescent="0.25"/>
  <cols>
    <col min="1" max="1" width="17.85546875" style="9" customWidth="1"/>
    <col min="2" max="2" width="18.42578125" style="12" bestFit="1" customWidth="1"/>
    <col min="3" max="3" width="17.5703125" style="12" bestFit="1" customWidth="1"/>
    <col min="4" max="4" width="11.42578125" style="12"/>
    <col min="5" max="5" width="17.5703125" style="17" bestFit="1" customWidth="1"/>
    <col min="6" max="6" width="20.7109375" style="17" customWidth="1"/>
    <col min="7" max="7" width="17.5703125" style="17" bestFit="1" customWidth="1"/>
    <col min="8" max="8" width="16.7109375" style="17" customWidth="1"/>
    <col min="9" max="16384" width="11.42578125" style="12"/>
  </cols>
  <sheetData>
    <row r="1" spans="1:10" x14ac:dyDescent="0.25">
      <c r="A1" s="9" t="s">
        <v>27</v>
      </c>
      <c r="B1" s="2" t="s">
        <v>31</v>
      </c>
      <c r="C1" s="2" t="s">
        <v>9</v>
      </c>
      <c r="D1" s="2" t="s">
        <v>12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55</v>
      </c>
      <c r="J1" s="4" t="s">
        <v>56</v>
      </c>
    </row>
    <row r="2" spans="1:10" x14ac:dyDescent="0.25">
      <c r="A2" s="9" t="str">
        <f>C2&amp;" - "&amp;D2&amp;" - "&amp;B2</f>
        <v>COMERCIO Y SUMINISTRO - Operación - Sometido 2016</v>
      </c>
      <c r="B2" s="12" t="s">
        <v>37</v>
      </c>
      <c r="C2" s="12" t="s">
        <v>2</v>
      </c>
      <c r="D2" s="12" t="s">
        <v>13</v>
      </c>
      <c r="E2" s="17">
        <v>14788873761.161453</v>
      </c>
      <c r="F2" s="17">
        <v>1478887376.1161454</v>
      </c>
      <c r="G2" s="17">
        <v>9935231944.8680134</v>
      </c>
      <c r="H2" s="17">
        <v>485364181.62934411</v>
      </c>
      <c r="I2" s="12">
        <v>10</v>
      </c>
      <c r="J2" s="12" t="s">
        <v>57</v>
      </c>
    </row>
    <row r="3" spans="1:10" x14ac:dyDescent="0.25">
      <c r="A3" s="9" t="str">
        <f t="shared" ref="A3:A19" si="0">C3&amp;" - "&amp;D3&amp;" - "&amp;B3</f>
        <v>MERCADO NACIONAL - Operación - Sometido 2016</v>
      </c>
      <c r="B3" s="12" t="s">
        <v>37</v>
      </c>
      <c r="C3" s="12" t="s">
        <v>11</v>
      </c>
      <c r="D3" s="12" t="s">
        <v>13</v>
      </c>
      <c r="E3" s="17">
        <v>52826174482.900009</v>
      </c>
      <c r="F3" s="17">
        <v>5282617448.2900009</v>
      </c>
      <c r="G3" s="17">
        <v>52262332003.500008</v>
      </c>
      <c r="H3" s="17">
        <v>56384247.940000005</v>
      </c>
      <c r="I3" s="12">
        <v>10</v>
      </c>
      <c r="J3" s="12" t="s">
        <v>57</v>
      </c>
    </row>
    <row r="4" spans="1:10" x14ac:dyDescent="0.25">
      <c r="A4" s="9" t="str">
        <f t="shared" si="0"/>
        <v>ENT - Operación - Sometido 2016</v>
      </c>
      <c r="B4" s="12" t="s">
        <v>37</v>
      </c>
      <c r="C4" s="12" t="s">
        <v>3</v>
      </c>
      <c r="D4" s="12" t="s">
        <v>13</v>
      </c>
      <c r="E4" s="17">
        <v>37556896079.772667</v>
      </c>
      <c r="F4" s="17">
        <v>3755689607.9772668</v>
      </c>
      <c r="G4" s="17">
        <v>37538341889.772667</v>
      </c>
      <c r="H4" s="17">
        <v>1855419</v>
      </c>
      <c r="I4" s="12">
        <v>10</v>
      </c>
      <c r="J4" s="12" t="s">
        <v>57</v>
      </c>
    </row>
    <row r="5" spans="1:10" x14ac:dyDescent="0.25">
      <c r="A5" s="9" t="str">
        <f t="shared" si="0"/>
        <v>PDV MARINA - Operación - Sometido 2016</v>
      </c>
      <c r="B5" s="12" t="s">
        <v>37</v>
      </c>
      <c r="C5" s="12" t="s">
        <v>0</v>
      </c>
      <c r="D5" s="12" t="s">
        <v>13</v>
      </c>
      <c r="E5" s="17">
        <v>22228626052.355999</v>
      </c>
      <c r="F5" s="17">
        <v>2222862605.2356</v>
      </c>
      <c r="G5" s="17">
        <v>18390904688.185997</v>
      </c>
      <c r="H5" s="17">
        <v>383772136.41700006</v>
      </c>
      <c r="I5" s="12">
        <v>10</v>
      </c>
      <c r="J5" s="12" t="s">
        <v>57</v>
      </c>
    </row>
    <row r="6" spans="1:10" x14ac:dyDescent="0.25">
      <c r="A6" s="9" t="str">
        <f t="shared" si="0"/>
        <v>COMMERCHAMP - Operación - Sometido 2016</v>
      </c>
      <c r="B6" s="12" t="s">
        <v>37</v>
      </c>
      <c r="C6" s="12" t="s">
        <v>1</v>
      </c>
      <c r="D6" s="12" t="s">
        <v>13</v>
      </c>
      <c r="E6" s="17">
        <v>7676202.408473677</v>
      </c>
      <c r="F6" s="17">
        <v>767620.24084736768</v>
      </c>
      <c r="G6" s="17">
        <v>7676202.408473677</v>
      </c>
      <c r="H6" s="17">
        <v>0</v>
      </c>
      <c r="I6" s="12">
        <v>10</v>
      </c>
      <c r="J6" s="12" t="s">
        <v>57</v>
      </c>
    </row>
    <row r="7" spans="1:10" x14ac:dyDescent="0.25">
      <c r="A7" s="9" t="str">
        <f t="shared" si="0"/>
        <v>COMERCIT - Operación - Sometido 2016</v>
      </c>
      <c r="B7" s="12" t="s">
        <v>37</v>
      </c>
      <c r="C7" s="12" t="s">
        <v>18</v>
      </c>
      <c r="D7" s="12" t="s">
        <v>13</v>
      </c>
      <c r="E7" s="17">
        <v>107798409</v>
      </c>
      <c r="F7" s="17">
        <v>10779840.9</v>
      </c>
      <c r="G7" s="17">
        <v>0</v>
      </c>
      <c r="H7" s="17">
        <v>10779840.9</v>
      </c>
      <c r="I7" s="12">
        <v>10</v>
      </c>
      <c r="J7" s="12" t="s">
        <v>57</v>
      </c>
    </row>
    <row r="8" spans="1:10" x14ac:dyDescent="0.25">
      <c r="A8" s="9" t="str">
        <f t="shared" si="0"/>
        <v>COMERCIO Y SUMINISTRO - OCyG - Sometido 2016</v>
      </c>
      <c r="B8" s="12" t="s">
        <v>37</v>
      </c>
      <c r="C8" s="12" t="s">
        <v>2</v>
      </c>
      <c r="D8" s="12" t="s">
        <v>14</v>
      </c>
      <c r="E8" s="17">
        <v>169007605691.60342</v>
      </c>
      <c r="F8" s="17">
        <v>16900760569.160343</v>
      </c>
      <c r="G8" s="17">
        <v>428015052.11594629</v>
      </c>
      <c r="H8" s="17">
        <v>16857959063.948748</v>
      </c>
      <c r="I8" s="12">
        <v>10</v>
      </c>
      <c r="J8" s="12" t="s">
        <v>57</v>
      </c>
    </row>
    <row r="9" spans="1:10" x14ac:dyDescent="0.25">
      <c r="A9" s="9" t="str">
        <f t="shared" si="0"/>
        <v>MERCADO NACIONAL - OCyG - Sometido 2016</v>
      </c>
      <c r="B9" s="12" t="s">
        <v>37</v>
      </c>
      <c r="C9" s="12" t="s">
        <v>11</v>
      </c>
      <c r="D9" s="12" t="s">
        <v>14</v>
      </c>
      <c r="E9" s="17">
        <v>79946815432.978989</v>
      </c>
      <c r="F9" s="17">
        <v>7994681543.2978992</v>
      </c>
      <c r="G9" s="17">
        <v>79734528976.405579</v>
      </c>
      <c r="H9" s="17">
        <v>21228645.657340899</v>
      </c>
      <c r="I9" s="12">
        <v>10</v>
      </c>
      <c r="J9" s="12" t="s">
        <v>57</v>
      </c>
    </row>
    <row r="10" spans="1:10" x14ac:dyDescent="0.25">
      <c r="A10" s="9" t="str">
        <f t="shared" si="0"/>
        <v>ENT - OCyG - Sometido 2016</v>
      </c>
      <c r="B10" s="12" t="s">
        <v>37</v>
      </c>
      <c r="C10" s="12" t="s">
        <v>3</v>
      </c>
      <c r="D10" s="12" t="s">
        <v>14</v>
      </c>
      <c r="E10" s="17">
        <v>-35850616721.844162</v>
      </c>
      <c r="F10" s="17">
        <v>-3585061672.1844163</v>
      </c>
      <c r="G10" s="17">
        <v>-35850616721.844162</v>
      </c>
      <c r="H10" s="17">
        <v>0</v>
      </c>
      <c r="I10" s="12">
        <v>10</v>
      </c>
      <c r="J10" s="12" t="s">
        <v>57</v>
      </c>
    </row>
    <row r="11" spans="1:10" x14ac:dyDescent="0.25">
      <c r="A11" s="9" t="str">
        <f t="shared" si="0"/>
        <v>PDV MARINA - OCyG - Sometido 2016</v>
      </c>
      <c r="B11" s="12" t="s">
        <v>37</v>
      </c>
      <c r="C11" s="12" t="s">
        <v>0</v>
      </c>
      <c r="D11" s="12" t="s">
        <v>14</v>
      </c>
      <c r="E11" s="17">
        <v>-19775941999.655998</v>
      </c>
      <c r="F11" s="17">
        <v>-1977594199.9655998</v>
      </c>
      <c r="G11" s="17">
        <v>-18610543019.355999</v>
      </c>
      <c r="H11" s="17">
        <v>-116539898.03</v>
      </c>
      <c r="I11" s="12">
        <v>10</v>
      </c>
      <c r="J11" s="12" t="s">
        <v>57</v>
      </c>
    </row>
    <row r="12" spans="1:10" x14ac:dyDescent="0.25">
      <c r="A12" s="9" t="str">
        <f t="shared" si="0"/>
        <v>COMMERCHAMP - OCyG - Sometido 2016</v>
      </c>
      <c r="B12" s="12" t="s">
        <v>37</v>
      </c>
      <c r="C12" s="12" t="s">
        <v>1</v>
      </c>
      <c r="D12" s="12" t="s">
        <v>14</v>
      </c>
      <c r="E12" s="17">
        <v>2144908533.6342196</v>
      </c>
      <c r="F12" s="17">
        <v>214490853.36342198</v>
      </c>
      <c r="G12" s="17">
        <v>2144908533.6342196</v>
      </c>
      <c r="H12" s="17">
        <v>0</v>
      </c>
      <c r="I12" s="12">
        <v>10</v>
      </c>
      <c r="J12" s="12" t="s">
        <v>57</v>
      </c>
    </row>
    <row r="13" spans="1:10" x14ac:dyDescent="0.25">
      <c r="A13" s="9" t="str">
        <f t="shared" si="0"/>
        <v>COMERCIT - OCyG - Sometido 2016</v>
      </c>
      <c r="B13" s="12" t="s">
        <v>37</v>
      </c>
      <c r="C13" s="12" t="s">
        <v>18</v>
      </c>
      <c r="D13" s="12" t="s">
        <v>14</v>
      </c>
      <c r="E13" s="17">
        <v>1164833382.3332417</v>
      </c>
      <c r="F13" s="17">
        <v>116483338.23332417</v>
      </c>
      <c r="G13" s="17">
        <v>-7074779.0553424656</v>
      </c>
      <c r="H13" s="17">
        <v>117190816.13885841</v>
      </c>
      <c r="I13" s="12">
        <v>10</v>
      </c>
      <c r="J13" s="12" t="s">
        <v>57</v>
      </c>
    </row>
    <row r="14" spans="1:10" x14ac:dyDescent="0.25">
      <c r="A14" s="9" t="str">
        <f t="shared" si="0"/>
        <v>MERCADO NACIONAL - Inversión - Sometido 2016</v>
      </c>
      <c r="B14" s="12" t="s">
        <v>37</v>
      </c>
      <c r="C14" s="12" t="s">
        <v>11</v>
      </c>
      <c r="D14" s="12" t="s">
        <v>15</v>
      </c>
      <c r="E14" s="17">
        <v>9553912784.4999943</v>
      </c>
      <c r="F14" s="17">
        <v>955391278.44999945</v>
      </c>
      <c r="G14" s="17">
        <v>9508835307.0999947</v>
      </c>
      <c r="H14" s="17">
        <v>4507747.7399999974</v>
      </c>
      <c r="I14" s="12">
        <v>10</v>
      </c>
      <c r="J14" s="12" t="s">
        <v>57</v>
      </c>
    </row>
    <row r="15" spans="1:10" x14ac:dyDescent="0.25">
      <c r="A15" s="9" t="str">
        <f t="shared" si="0"/>
        <v>ENT - Inversión - Sometido 2016</v>
      </c>
      <c r="B15" s="12" t="s">
        <v>37</v>
      </c>
      <c r="C15" s="12" t="s">
        <v>3</v>
      </c>
      <c r="D15" s="12" t="s">
        <v>15</v>
      </c>
      <c r="E15" s="17">
        <v>1145062790.5122001</v>
      </c>
      <c r="F15" s="17">
        <v>114506279.05122001</v>
      </c>
      <c r="G15" s="17">
        <v>1145062790.5122001</v>
      </c>
      <c r="H15" s="17">
        <v>0</v>
      </c>
      <c r="I15" s="12">
        <v>10</v>
      </c>
      <c r="J15" s="12" t="s">
        <v>57</v>
      </c>
    </row>
    <row r="16" spans="1:10" x14ac:dyDescent="0.25">
      <c r="A16" s="9" t="str">
        <f t="shared" si="0"/>
        <v>PDV MARINA - Inversión - Sometido 2016</v>
      </c>
      <c r="B16" s="12" t="s">
        <v>37</v>
      </c>
      <c r="C16" s="12" t="s">
        <v>0</v>
      </c>
      <c r="D16" s="12" t="s">
        <v>15</v>
      </c>
      <c r="E16" s="17">
        <v>118062594.25</v>
      </c>
      <c r="F16" s="17">
        <v>11806259.425000001</v>
      </c>
      <c r="G16" s="17">
        <v>17107244.25</v>
      </c>
      <c r="H16" s="17">
        <v>10095535</v>
      </c>
      <c r="I16" s="12">
        <v>10</v>
      </c>
      <c r="J16" s="12" t="s">
        <v>57</v>
      </c>
    </row>
    <row r="17" spans="1:10" x14ac:dyDescent="0.25">
      <c r="A17" s="9" t="str">
        <f t="shared" si="0"/>
        <v>MERCADO NACIONAL - Operación - Sometido 2017</v>
      </c>
      <c r="B17" s="12" t="s">
        <v>39</v>
      </c>
      <c r="C17" s="12" t="s">
        <v>11</v>
      </c>
      <c r="D17" s="12" t="s">
        <v>13</v>
      </c>
      <c r="E17" s="17">
        <f>F17*10</f>
        <v>134713558122.14999</v>
      </c>
      <c r="F17" s="17">
        <v>13471355812.215</v>
      </c>
      <c r="G17" s="17">
        <f>E17-H17*10</f>
        <v>134060133086.15939</v>
      </c>
      <c r="H17" s="17">
        <f>65.3425035990603*1000000</f>
        <v>65342503.599060297</v>
      </c>
      <c r="I17" s="12">
        <v>10</v>
      </c>
      <c r="J17" s="12" t="s">
        <v>57</v>
      </c>
    </row>
    <row r="18" spans="1:10" x14ac:dyDescent="0.25">
      <c r="A18" s="9" t="str">
        <f t="shared" si="0"/>
        <v>MERCADO NACIONAL - OCyG - Sometido 2017</v>
      </c>
      <c r="B18" s="12" t="s">
        <v>39</v>
      </c>
      <c r="C18" s="12" t="s">
        <v>11</v>
      </c>
      <c r="D18" s="12" t="s">
        <v>14</v>
      </c>
      <c r="E18" s="17">
        <f>F18*10</f>
        <v>235881754199.67258</v>
      </c>
      <c r="F18" s="17">
        <v>23588175419.967258</v>
      </c>
      <c r="G18" s="17">
        <f>E18-H18*10</f>
        <v>234974375021.59039</v>
      </c>
      <c r="H18" s="17">
        <f>90.7379178082192*1000000</f>
        <v>90737917.808219194</v>
      </c>
      <c r="I18" s="12">
        <v>10</v>
      </c>
      <c r="J18" s="12" t="s">
        <v>57</v>
      </c>
    </row>
    <row r="19" spans="1:10" x14ac:dyDescent="0.25">
      <c r="A19" s="9" t="str">
        <f t="shared" si="0"/>
        <v>MERCADO NACIONAL - Inversión - Sometido 2017</v>
      </c>
      <c r="B19" s="12" t="s">
        <v>39</v>
      </c>
      <c r="C19" s="12" t="s">
        <v>11</v>
      </c>
      <c r="D19" s="12" t="s">
        <v>15</v>
      </c>
      <c r="E19" s="17">
        <f>F19*10</f>
        <v>16294294608.186039</v>
      </c>
      <c r="F19" s="17">
        <v>1629429460.818604</v>
      </c>
      <c r="G19" s="17">
        <f>E19-H19*10</f>
        <v>15453892213.185762</v>
      </c>
      <c r="H19" s="17">
        <f>84.0402395000277*1000000</f>
        <v>84040239.500027701</v>
      </c>
      <c r="I19" s="12">
        <v>10</v>
      </c>
      <c r="J19" s="12" t="s">
        <v>57</v>
      </c>
    </row>
    <row r="20" spans="1:10" x14ac:dyDescent="0.25">
      <c r="A20" s="9" t="str">
        <f t="shared" ref="A20:A25" si="1">C20&amp;" - "&amp;D20&amp;" - "&amp;B20</f>
        <v>ENT - Operación - Sometido 2017</v>
      </c>
      <c r="B20" s="12" t="s">
        <v>39</v>
      </c>
      <c r="C20" s="12" t="s">
        <v>3</v>
      </c>
      <c r="D20" s="12" t="s">
        <v>13</v>
      </c>
      <c r="E20" s="17">
        <f>F20*10</f>
        <v>120895432912.08002</v>
      </c>
      <c r="F20" s="17">
        <v>12089543291.208002</v>
      </c>
      <c r="G20" s="17">
        <f t="shared" ref="G20:G22" si="2">E20-H20*10</f>
        <v>120895432912.08002</v>
      </c>
      <c r="H20" s="17">
        <v>0</v>
      </c>
      <c r="I20" s="12">
        <v>10</v>
      </c>
      <c r="J20" s="12" t="s">
        <v>57</v>
      </c>
    </row>
    <row r="21" spans="1:10" x14ac:dyDescent="0.25">
      <c r="A21" s="9" t="str">
        <f t="shared" si="1"/>
        <v>ENT - OCyG - Sometido 2017</v>
      </c>
      <c r="B21" s="12" t="s">
        <v>39</v>
      </c>
      <c r="C21" s="12" t="s">
        <v>3</v>
      </c>
      <c r="D21" s="12" t="s">
        <v>14</v>
      </c>
      <c r="E21" s="17">
        <f t="shared" ref="E21:E22" si="3">F21*10</f>
        <v>-118847929547.616</v>
      </c>
      <c r="F21" s="17">
        <v>-11884792954.7616</v>
      </c>
      <c r="G21" s="17">
        <f t="shared" si="2"/>
        <v>-118847929547.616</v>
      </c>
      <c r="H21" s="17">
        <v>0</v>
      </c>
      <c r="I21" s="12">
        <v>10</v>
      </c>
      <c r="J21" s="12" t="s">
        <v>57</v>
      </c>
    </row>
    <row r="22" spans="1:10" x14ac:dyDescent="0.25">
      <c r="A22" s="9" t="str">
        <f t="shared" si="1"/>
        <v>ENT - Inversión - Sometido 2017</v>
      </c>
      <c r="B22" s="12" t="s">
        <v>39</v>
      </c>
      <c r="C22" s="12" t="s">
        <v>3</v>
      </c>
      <c r="D22" s="12" t="s">
        <v>15</v>
      </c>
      <c r="E22" s="17">
        <f t="shared" si="3"/>
        <v>3075459816.7381096</v>
      </c>
      <c r="F22" s="17">
        <v>307545981.67381096</v>
      </c>
      <c r="G22" s="17">
        <f t="shared" si="2"/>
        <v>2380459816.7381096</v>
      </c>
      <c r="H22" s="17">
        <v>69500000</v>
      </c>
      <c r="I22" s="12">
        <v>10</v>
      </c>
      <c r="J22" s="12" t="s">
        <v>57</v>
      </c>
    </row>
    <row r="23" spans="1:10" x14ac:dyDescent="0.25">
      <c r="A23" s="9" t="str">
        <f t="shared" si="1"/>
        <v>PDV MARINA - Operación - Sometido 2017</v>
      </c>
      <c r="B23" s="12" t="s">
        <v>39</v>
      </c>
      <c r="C23" s="12" t="s">
        <v>0</v>
      </c>
      <c r="D23" s="12" t="s">
        <v>13</v>
      </c>
      <c r="E23" s="17">
        <f>F23*10</f>
        <v>52370467006.34108</v>
      </c>
      <c r="F23" s="17">
        <v>5237046700.6341076</v>
      </c>
      <c r="G23" s="17">
        <f t="shared" ref="G23:G25" si="4">E23-H23*10</f>
        <v>49139110612.478462</v>
      </c>
      <c r="H23" s="17">
        <v>323135639.38626182</v>
      </c>
      <c r="I23" s="12">
        <v>10</v>
      </c>
      <c r="J23" s="12" t="s">
        <v>57</v>
      </c>
    </row>
    <row r="24" spans="1:10" x14ac:dyDescent="0.25">
      <c r="A24" s="9" t="str">
        <f t="shared" si="1"/>
        <v>PDV MARINA - OCyG - Sometido 2017</v>
      </c>
      <c r="B24" s="12" t="s">
        <v>39</v>
      </c>
      <c r="C24" s="12" t="s">
        <v>0</v>
      </c>
      <c r="D24" s="12" t="s">
        <v>14</v>
      </c>
      <c r="E24" s="17">
        <f t="shared" ref="E24:E25" si="5">F24*10</f>
        <v>-49918210361.5411</v>
      </c>
      <c r="F24" s="17">
        <v>-4991821036.15411</v>
      </c>
      <c r="G24" s="17">
        <f t="shared" si="4"/>
        <v>-49993734681.141098</v>
      </c>
      <c r="H24" s="17">
        <v>7552431.9600000009</v>
      </c>
      <c r="I24" s="12">
        <v>10</v>
      </c>
      <c r="J24" s="12" t="s">
        <v>57</v>
      </c>
    </row>
    <row r="25" spans="1:10" x14ac:dyDescent="0.25">
      <c r="A25" s="9" t="str">
        <f t="shared" si="1"/>
        <v>PDV MARINA - Inversión - Sometido 2017</v>
      </c>
      <c r="B25" s="12" t="s">
        <v>39</v>
      </c>
      <c r="C25" s="12" t="s">
        <v>0</v>
      </c>
      <c r="D25" s="12" t="s">
        <v>15</v>
      </c>
      <c r="E25" s="17">
        <f t="shared" si="5"/>
        <v>33000000</v>
      </c>
      <c r="F25" s="17">
        <v>3300000</v>
      </c>
      <c r="G25" s="17">
        <f t="shared" si="4"/>
        <v>33000000</v>
      </c>
      <c r="H25" s="17">
        <v>0</v>
      </c>
      <c r="I25" s="12">
        <v>10</v>
      </c>
      <c r="J25" s="12" t="s">
        <v>57</v>
      </c>
    </row>
    <row r="26" spans="1:10" x14ac:dyDescent="0.25">
      <c r="A26" s="9" t="str">
        <f t="shared" ref="A26:A27" si="6">C26&amp;" - "&amp;D26&amp;" - "&amp;B26</f>
        <v>COMMERCHAMP - Operación - Sometido 2017</v>
      </c>
      <c r="B26" s="12" t="s">
        <v>39</v>
      </c>
      <c r="C26" s="12" t="s">
        <v>1</v>
      </c>
      <c r="D26" s="12" t="s">
        <v>13</v>
      </c>
      <c r="E26" s="17">
        <f>F26*10</f>
        <v>22153110.711517401</v>
      </c>
      <c r="F26" s="17">
        <v>2215311.0711517399</v>
      </c>
      <c r="G26" s="17">
        <f t="shared" ref="G26:G27" si="7">E26-H26*10</f>
        <v>22153110.711517401</v>
      </c>
      <c r="H26" s="17">
        <v>0</v>
      </c>
      <c r="I26" s="12">
        <v>10</v>
      </c>
      <c r="J26" s="12" t="s">
        <v>57</v>
      </c>
    </row>
    <row r="27" spans="1:10" x14ac:dyDescent="0.25">
      <c r="A27" s="9" t="str">
        <f t="shared" si="6"/>
        <v>COMMERCHAMP - OCyG - Sometido 2017</v>
      </c>
      <c r="B27" s="12" t="s">
        <v>39</v>
      </c>
      <c r="C27" s="12" t="s">
        <v>1</v>
      </c>
      <c r="D27" s="12" t="s">
        <v>14</v>
      </c>
      <c r="E27" s="17">
        <f>F27*10</f>
        <v>2042300000</v>
      </c>
      <c r="F27" s="17">
        <v>204230000</v>
      </c>
      <c r="G27" s="17">
        <f t="shared" si="7"/>
        <v>2042300000</v>
      </c>
      <c r="H27" s="17">
        <v>0</v>
      </c>
      <c r="I27" s="12">
        <v>10</v>
      </c>
      <c r="J27" s="12" t="s">
        <v>57</v>
      </c>
    </row>
    <row r="28" spans="1:10" x14ac:dyDescent="0.25">
      <c r="A28" s="9" t="str">
        <f t="shared" ref="A28:A29" si="8">C28&amp;" - "&amp;D28&amp;" - "&amp;B28</f>
        <v>COMERCIT - Operación - Sometido 2017</v>
      </c>
      <c r="B28" s="12" t="s">
        <v>39</v>
      </c>
      <c r="C28" s="12" t="s">
        <v>18</v>
      </c>
      <c r="D28" s="12" t="s">
        <v>13</v>
      </c>
      <c r="E28" s="17">
        <f>F28*10</f>
        <v>133271840.00000001</v>
      </c>
      <c r="F28" s="17">
        <v>13327184.000000002</v>
      </c>
      <c r="G28" s="17">
        <f t="shared" ref="G28:G29" si="9">E28-H28*10</f>
        <v>0</v>
      </c>
      <c r="H28" s="17">
        <v>13327184.000000002</v>
      </c>
      <c r="I28" s="12">
        <v>10</v>
      </c>
      <c r="J28" s="12" t="s">
        <v>57</v>
      </c>
    </row>
    <row r="29" spans="1:10" x14ac:dyDescent="0.25">
      <c r="A29" s="9" t="str">
        <f t="shared" si="8"/>
        <v>COMERCIT - OCyG - Sometido 2017</v>
      </c>
      <c r="B29" s="12" t="s">
        <v>39</v>
      </c>
      <c r="C29" s="12" t="s">
        <v>18</v>
      </c>
      <c r="D29" s="12" t="s">
        <v>14</v>
      </c>
      <c r="E29" s="17">
        <f>F29*10</f>
        <v>1490100000.0000002</v>
      </c>
      <c r="F29" s="17">
        <v>149010000.00000003</v>
      </c>
      <c r="G29" s="17">
        <f t="shared" si="9"/>
        <v>38917603.201029062</v>
      </c>
      <c r="H29" s="17">
        <v>145118239.67989713</v>
      </c>
      <c r="I29" s="12">
        <v>10</v>
      </c>
      <c r="J29" s="12" t="s">
        <v>57</v>
      </c>
    </row>
    <row r="30" spans="1:10" x14ac:dyDescent="0.25">
      <c r="A30" s="9" t="str">
        <f t="shared" ref="A30:A44" si="10">C30&amp;" - "&amp;D30&amp;" - "&amp;B30</f>
        <v>COMERCIO Y SUMINISTRO - Operación - Sometido 2017</v>
      </c>
      <c r="B30" s="12" t="s">
        <v>39</v>
      </c>
      <c r="C30" s="12" t="s">
        <v>2</v>
      </c>
      <c r="D30" s="12" t="s">
        <v>13</v>
      </c>
      <c r="E30" s="17">
        <v>19369393227.780926</v>
      </c>
      <c r="F30" s="17">
        <v>1936939322.77809</v>
      </c>
      <c r="G30" s="17">
        <f t="shared" ref="G30:G31" si="11">E30-H30*10</f>
        <v>10298207704.480927</v>
      </c>
      <c r="H30" s="17">
        <v>907118552.32999992</v>
      </c>
      <c r="I30" s="12">
        <v>10</v>
      </c>
      <c r="J30" s="12" t="s">
        <v>57</v>
      </c>
    </row>
    <row r="31" spans="1:10" x14ac:dyDescent="0.25">
      <c r="A31" s="9" t="str">
        <f t="shared" si="10"/>
        <v>COMERCIO Y SUMINISTRO - OCyG - Sometido 2017</v>
      </c>
      <c r="B31" s="12" t="s">
        <v>39</v>
      </c>
      <c r="C31" s="12" t="s">
        <v>2</v>
      </c>
      <c r="D31" s="12" t="s">
        <v>14</v>
      </c>
      <c r="E31" s="17">
        <v>255008700000</v>
      </c>
      <c r="F31" s="17">
        <f t="shared" ref="F31" si="12">E31/10</f>
        <v>25500870000</v>
      </c>
      <c r="G31" s="17">
        <f t="shared" si="11"/>
        <v>28213980467.455933</v>
      </c>
      <c r="H31" s="17">
        <v>22679471953.254406</v>
      </c>
      <c r="I31" s="12">
        <v>10</v>
      </c>
      <c r="J31" s="12" t="s">
        <v>57</v>
      </c>
    </row>
    <row r="32" spans="1:10" x14ac:dyDescent="0.25">
      <c r="A32" s="9" t="str">
        <f t="shared" si="10"/>
        <v>MERCADO NACIONAL - Operación - Sometido 2018</v>
      </c>
      <c r="B32" s="12" t="s">
        <v>44</v>
      </c>
      <c r="C32" s="12" t="s">
        <v>11</v>
      </c>
      <c r="D32" s="12" t="s">
        <v>13</v>
      </c>
      <c r="E32" s="17">
        <f>F32*10</f>
        <v>646697313548.83069</v>
      </c>
      <c r="F32" s="17">
        <v>64669731354.883072</v>
      </c>
      <c r="G32" s="17">
        <f>E32-H32*10</f>
        <v>645522795114.69336</v>
      </c>
      <c r="H32" s="17">
        <v>117451843.41372783</v>
      </c>
      <c r="I32" s="12">
        <v>10</v>
      </c>
      <c r="J32" s="12" t="s">
        <v>57</v>
      </c>
    </row>
    <row r="33" spans="1:10" x14ac:dyDescent="0.25">
      <c r="A33" s="9" t="str">
        <f t="shared" si="10"/>
        <v>MERCADO NACIONAL - OCyG - Sometido 2018</v>
      </c>
      <c r="B33" s="12" t="s">
        <v>44</v>
      </c>
      <c r="C33" s="12" t="s">
        <v>11</v>
      </c>
      <c r="D33" s="12" t="s">
        <v>14</v>
      </c>
      <c r="E33" s="17">
        <f>F33*10</f>
        <v>330386679797.93781</v>
      </c>
      <c r="F33" s="17">
        <v>33038667979.793781</v>
      </c>
      <c r="G33" s="17">
        <f>E33-H33*10</f>
        <v>329433844905.75031</v>
      </c>
      <c r="H33" s="17">
        <v>95283489.218751073</v>
      </c>
      <c r="I33" s="12">
        <v>10</v>
      </c>
      <c r="J33" s="12" t="s">
        <v>57</v>
      </c>
    </row>
    <row r="34" spans="1:10" x14ac:dyDescent="0.25">
      <c r="A34" s="9" t="str">
        <f t="shared" si="10"/>
        <v>MERCADO NACIONAL - Inversión - Sometido 2018</v>
      </c>
      <c r="B34" s="12" t="s">
        <v>44</v>
      </c>
      <c r="C34" s="12" t="s">
        <v>11</v>
      </c>
      <c r="D34" s="12" t="s">
        <v>15</v>
      </c>
      <c r="E34" s="17">
        <f>F34*10</f>
        <v>191606415455.08002</v>
      </c>
      <c r="F34" s="17">
        <v>19160641545.508003</v>
      </c>
      <c r="G34" s="17">
        <f>E34-H34*10</f>
        <v>190477648822.68002</v>
      </c>
      <c r="H34" s="17">
        <v>112876663.24000002</v>
      </c>
      <c r="I34" s="12">
        <v>10</v>
      </c>
      <c r="J34" s="12" t="s">
        <v>57</v>
      </c>
    </row>
    <row r="35" spans="1:10" x14ac:dyDescent="0.25">
      <c r="A35" s="9" t="str">
        <f t="shared" si="10"/>
        <v>ENT - Operación - Sometido 2018</v>
      </c>
      <c r="B35" s="12" t="s">
        <v>44</v>
      </c>
      <c r="C35" s="12" t="s">
        <v>3</v>
      </c>
      <c r="D35" s="12" t="s">
        <v>13</v>
      </c>
      <c r="E35" s="17">
        <f>F35*10</f>
        <v>1206361911362.6267</v>
      </c>
      <c r="F35" s="17">
        <v>120636191136.26266</v>
      </c>
      <c r="G35" s="17">
        <f t="shared" ref="G35:G46" si="13">E35-H35*10</f>
        <v>1206079125779.0266</v>
      </c>
      <c r="H35" s="17">
        <v>28278558.359999999</v>
      </c>
      <c r="I35" s="12">
        <v>10</v>
      </c>
      <c r="J35" s="12" t="s">
        <v>57</v>
      </c>
    </row>
    <row r="36" spans="1:10" x14ac:dyDescent="0.25">
      <c r="A36" s="9" t="str">
        <f t="shared" si="10"/>
        <v>ENT - OCyG - Sometido 2018</v>
      </c>
      <c r="B36" s="12" t="s">
        <v>44</v>
      </c>
      <c r="C36" s="12" t="s">
        <v>3</v>
      </c>
      <c r="D36" s="12" t="s">
        <v>14</v>
      </c>
      <c r="E36" s="17">
        <f t="shared" ref="E36:E37" si="14">F36*10</f>
        <v>-1200707445970.6443</v>
      </c>
      <c r="F36" s="17">
        <v>-120070744597.06444</v>
      </c>
      <c r="G36" s="17">
        <f t="shared" si="13"/>
        <v>-1200707445970.6443</v>
      </c>
      <c r="H36" s="17">
        <v>0</v>
      </c>
      <c r="I36" s="12">
        <v>10</v>
      </c>
      <c r="J36" s="12" t="s">
        <v>57</v>
      </c>
    </row>
    <row r="37" spans="1:10" x14ac:dyDescent="0.25">
      <c r="A37" s="9" t="str">
        <f t="shared" si="10"/>
        <v>ENT - Inversión - Sometido 2018</v>
      </c>
      <c r="B37" s="12" t="s">
        <v>44</v>
      </c>
      <c r="C37" s="12" t="s">
        <v>3</v>
      </c>
      <c r="D37" s="12" t="s">
        <v>15</v>
      </c>
      <c r="E37" s="17">
        <f t="shared" si="14"/>
        <v>72689391342.115799</v>
      </c>
      <c r="F37" s="17">
        <v>7268939134.2115793</v>
      </c>
      <c r="G37" s="17">
        <f t="shared" si="13"/>
        <v>71980691342.115799</v>
      </c>
      <c r="H37" s="17">
        <v>70870000</v>
      </c>
      <c r="I37" s="12">
        <v>10</v>
      </c>
      <c r="J37" s="12" t="s">
        <v>57</v>
      </c>
    </row>
    <row r="38" spans="1:10" x14ac:dyDescent="0.25">
      <c r="A38" s="9" t="str">
        <f t="shared" si="10"/>
        <v>PDV MARINA - Operación - Sometido 2018</v>
      </c>
      <c r="B38" s="12" t="s">
        <v>44</v>
      </c>
      <c r="C38" s="12" t="s">
        <v>0</v>
      </c>
      <c r="D38" s="12" t="s">
        <v>13</v>
      </c>
      <c r="E38" s="17">
        <f>F38*10</f>
        <v>542857118322.98431</v>
      </c>
      <c r="F38" s="17">
        <v>54285711832.298431</v>
      </c>
      <c r="G38" s="17">
        <f t="shared" si="13"/>
        <v>530803122863.6225</v>
      </c>
      <c r="H38" s="17">
        <v>1205399545.9361811</v>
      </c>
      <c r="I38" s="12">
        <v>10</v>
      </c>
      <c r="J38" s="12" t="s">
        <v>57</v>
      </c>
    </row>
    <row r="39" spans="1:10" x14ac:dyDescent="0.25">
      <c r="A39" s="9" t="str">
        <f t="shared" si="10"/>
        <v>PDV MARINA - OCyG - Sometido 2018</v>
      </c>
      <c r="B39" s="12" t="s">
        <v>44</v>
      </c>
      <c r="C39" s="12" t="s">
        <v>0</v>
      </c>
      <c r="D39" s="12" t="s">
        <v>14</v>
      </c>
      <c r="E39" s="17">
        <f t="shared" ref="E39:E40" si="15">F39*10</f>
        <v>-540506861678.18433</v>
      </c>
      <c r="F39" s="17">
        <v>-54050686167.818436</v>
      </c>
      <c r="G39" s="17">
        <f t="shared" si="13"/>
        <v>-540787379066.34174</v>
      </c>
      <c r="H39" s="17">
        <v>28051738.815740447</v>
      </c>
      <c r="I39" s="12">
        <v>10</v>
      </c>
      <c r="J39" s="12" t="s">
        <v>57</v>
      </c>
    </row>
    <row r="40" spans="1:10" x14ac:dyDescent="0.25">
      <c r="A40" s="9" t="str">
        <f t="shared" si="10"/>
        <v>PDV MARINA - Inversión - Sometido 2018</v>
      </c>
      <c r="B40" s="12" t="s">
        <v>44</v>
      </c>
      <c r="C40" s="12" t="s">
        <v>0</v>
      </c>
      <c r="D40" s="12" t="s">
        <v>15</v>
      </c>
      <c r="E40" s="17">
        <f t="shared" si="15"/>
        <v>0</v>
      </c>
      <c r="F40" s="17">
        <v>0</v>
      </c>
      <c r="G40" s="17">
        <f t="shared" si="13"/>
        <v>0</v>
      </c>
      <c r="H40" s="17">
        <v>0</v>
      </c>
      <c r="I40" s="12">
        <v>10</v>
      </c>
      <c r="J40" s="12" t="s">
        <v>57</v>
      </c>
    </row>
    <row r="41" spans="1:10" x14ac:dyDescent="0.25">
      <c r="A41" s="9" t="str">
        <f t="shared" si="10"/>
        <v>COMMERCHAMP - Operación - Sometido 2018</v>
      </c>
      <c r="B41" s="12" t="s">
        <v>44</v>
      </c>
      <c r="C41" s="12" t="s">
        <v>1</v>
      </c>
      <c r="D41" s="12" t="s">
        <v>13</v>
      </c>
      <c r="E41" s="17">
        <f>F41*10</f>
        <v>237332466.78603387</v>
      </c>
      <c r="F41" s="17">
        <v>23733246.678603388</v>
      </c>
      <c r="G41" s="17">
        <f t="shared" si="13"/>
        <v>237332466.78603387</v>
      </c>
      <c r="H41" s="17">
        <v>0</v>
      </c>
      <c r="I41" s="12">
        <v>10</v>
      </c>
      <c r="J41" s="12" t="s">
        <v>57</v>
      </c>
    </row>
    <row r="42" spans="1:10" x14ac:dyDescent="0.25">
      <c r="A42" s="9" t="str">
        <f t="shared" si="10"/>
        <v>COMMERCHAMP - OCyG - Sometido 2018</v>
      </c>
      <c r="B42" s="12" t="s">
        <v>44</v>
      </c>
      <c r="C42" s="12" t="s">
        <v>1</v>
      </c>
      <c r="D42" s="12" t="s">
        <v>14</v>
      </c>
      <c r="E42" s="17">
        <f>F42*10</f>
        <v>1661221902.744978</v>
      </c>
      <c r="F42" s="17">
        <v>166122190.27449781</v>
      </c>
      <c r="G42" s="17">
        <f t="shared" si="13"/>
        <v>1661221902.744978</v>
      </c>
      <c r="H42" s="17">
        <v>0</v>
      </c>
      <c r="I42" s="12">
        <v>10</v>
      </c>
      <c r="J42" s="12" t="s">
        <v>57</v>
      </c>
    </row>
    <row r="43" spans="1:10" x14ac:dyDescent="0.25">
      <c r="A43" s="9" t="str">
        <f t="shared" si="10"/>
        <v>COMERCIT - Operación - Sometido 2018</v>
      </c>
      <c r="B43" s="12" t="s">
        <v>44</v>
      </c>
      <c r="C43" s="12" t="s">
        <v>18</v>
      </c>
      <c r="D43" s="12" t="s">
        <v>13</v>
      </c>
      <c r="E43" s="17">
        <f>F43*10</f>
        <v>139910300.74093458</v>
      </c>
      <c r="F43" s="17">
        <v>13991030.074093459</v>
      </c>
      <c r="G43" s="17">
        <f t="shared" si="13"/>
        <v>0</v>
      </c>
      <c r="H43" s="17">
        <v>13991030.074093459</v>
      </c>
      <c r="I43" s="12">
        <v>10</v>
      </c>
      <c r="J43" s="12" t="s">
        <v>57</v>
      </c>
    </row>
    <row r="44" spans="1:10" x14ac:dyDescent="0.25">
      <c r="A44" s="9" t="str">
        <f t="shared" si="10"/>
        <v>COMERCIT - OCyG - Sometido 2018</v>
      </c>
      <c r="B44" s="12" t="s">
        <v>44</v>
      </c>
      <c r="C44" s="12" t="s">
        <v>18</v>
      </c>
      <c r="D44" s="12" t="s">
        <v>14</v>
      </c>
      <c r="E44" s="17">
        <f>F44*10</f>
        <v>1467913123.4571669</v>
      </c>
      <c r="F44" s="17">
        <v>146791312.34571669</v>
      </c>
      <c r="G44" s="17">
        <f t="shared" si="13"/>
        <v>38999999.974123955</v>
      </c>
      <c r="H44" s="17">
        <v>142891312.3483043</v>
      </c>
      <c r="I44" s="12">
        <v>10</v>
      </c>
      <c r="J44" s="12" t="s">
        <v>57</v>
      </c>
    </row>
    <row r="45" spans="1:10" x14ac:dyDescent="0.25">
      <c r="A45" s="9" t="str">
        <f t="shared" ref="A45:A59" si="16">C45&amp;" - "&amp;D45&amp;" - "&amp;B45</f>
        <v>COMERCIO Y SUMINISTRO - Operación - Sometido 2018</v>
      </c>
      <c r="B45" s="12" t="s">
        <v>44</v>
      </c>
      <c r="C45" s="12" t="s">
        <v>2</v>
      </c>
      <c r="D45" s="12" t="s">
        <v>13</v>
      </c>
      <c r="E45" s="17">
        <f t="shared" ref="E45:E46" si="17">F45*10</f>
        <v>93854131331.018219</v>
      </c>
      <c r="F45" s="17">
        <v>9385413133.1018219</v>
      </c>
      <c r="G45" s="17">
        <f t="shared" si="13"/>
        <v>83009575881.023026</v>
      </c>
      <c r="H45" s="17">
        <v>1084455544.9995191</v>
      </c>
      <c r="I45" s="12">
        <v>10</v>
      </c>
      <c r="J45" s="12" t="s">
        <v>57</v>
      </c>
    </row>
    <row r="46" spans="1:10" x14ac:dyDescent="0.25">
      <c r="A46" s="9" t="str">
        <f t="shared" si="16"/>
        <v>COMERCIO Y SUMINISTRO - OCyG - Sometido 2018</v>
      </c>
      <c r="B46" s="12" t="s">
        <v>44</v>
      </c>
      <c r="C46" s="12" t="s">
        <v>2</v>
      </c>
      <c r="D46" s="12" t="s">
        <v>14</v>
      </c>
      <c r="E46" s="17">
        <f t="shared" si="17"/>
        <v>231786183333.34863</v>
      </c>
      <c r="F46" s="17">
        <v>23178618333.334862</v>
      </c>
      <c r="G46" s="17">
        <f t="shared" si="13"/>
        <v>13024850760.07608</v>
      </c>
      <c r="H46" s="17">
        <v>21876133257.327255</v>
      </c>
      <c r="I46" s="12">
        <v>10</v>
      </c>
      <c r="J46" s="12" t="s">
        <v>57</v>
      </c>
    </row>
    <row r="47" spans="1:10" x14ac:dyDescent="0.25">
      <c r="A47" s="9" t="str">
        <f t="shared" si="16"/>
        <v>MERCADO NACIONAL - Operación - Revisado I Sometido 2018</v>
      </c>
      <c r="B47" s="12" t="s">
        <v>45</v>
      </c>
      <c r="C47" s="12" t="s">
        <v>11</v>
      </c>
      <c r="D47" s="12" t="s">
        <v>13</v>
      </c>
      <c r="E47" s="17">
        <f>F47*10</f>
        <v>2001216377954.1426</v>
      </c>
      <c r="F47" s="17">
        <v>200121637795.41425</v>
      </c>
      <c r="G47" s="17">
        <f>E47-H47*10</f>
        <v>2000051377954.1426</v>
      </c>
      <c r="H47" s="17">
        <v>116500000</v>
      </c>
      <c r="I47" s="12">
        <v>10</v>
      </c>
      <c r="J47" s="12" t="s">
        <v>57</v>
      </c>
    </row>
    <row r="48" spans="1:10" x14ac:dyDescent="0.25">
      <c r="A48" s="9" t="str">
        <f t="shared" si="16"/>
        <v>MERCADO NACIONAL - OCyG - Revisado I Sometido 2018</v>
      </c>
      <c r="B48" s="12" t="s">
        <v>45</v>
      </c>
      <c r="C48" s="12" t="s">
        <v>11</v>
      </c>
      <c r="D48" s="12" t="s">
        <v>14</v>
      </c>
      <c r="E48" s="17">
        <f>F48*10</f>
        <v>2458221951969.647</v>
      </c>
      <c r="F48" s="17">
        <v>245822195196.96469</v>
      </c>
      <c r="G48" s="17">
        <f>E48-H48*10</f>
        <v>2457269117077.4595</v>
      </c>
      <c r="H48" s="17">
        <v>95283489.218751058</v>
      </c>
      <c r="I48" s="12">
        <v>10</v>
      </c>
      <c r="J48" s="12" t="s">
        <v>57</v>
      </c>
    </row>
    <row r="49" spans="1:10" x14ac:dyDescent="0.25">
      <c r="A49" s="9" t="str">
        <f t="shared" si="16"/>
        <v>MERCADO NACIONAL - Inversión - Revisado I Sometido 2018</v>
      </c>
      <c r="B49" s="12" t="s">
        <v>45</v>
      </c>
      <c r="C49" s="12" t="s">
        <v>11</v>
      </c>
      <c r="D49" s="12" t="s">
        <v>15</v>
      </c>
      <c r="E49" s="17">
        <f>F49*10</f>
        <v>222416004902.85895</v>
      </c>
      <c r="F49" s="17">
        <v>22241600490.285896</v>
      </c>
      <c r="G49" s="17">
        <f>E49-H49*10</f>
        <v>221761282654.78995</v>
      </c>
      <c r="H49" s="17">
        <v>65472224.806899972</v>
      </c>
      <c r="I49" s="12">
        <v>10</v>
      </c>
      <c r="J49" s="12" t="s">
        <v>57</v>
      </c>
    </row>
    <row r="50" spans="1:10" x14ac:dyDescent="0.25">
      <c r="A50" s="9" t="str">
        <f t="shared" si="16"/>
        <v>ENT - Operación - Revisado I Sometido 2018</v>
      </c>
      <c r="B50" s="12" t="s">
        <v>45</v>
      </c>
      <c r="C50" s="12" t="s">
        <v>3</v>
      </c>
      <c r="D50" s="12" t="s">
        <v>13</v>
      </c>
      <c r="E50" s="17">
        <f>F50*10</f>
        <v>3020347677424.9844</v>
      </c>
      <c r="F50" s="17">
        <v>302034767742.49841</v>
      </c>
      <c r="G50" s="17">
        <f t="shared" ref="G50:G61" si="18">E50-H50*10</f>
        <v>3020064891841.3843</v>
      </c>
      <c r="H50" s="17">
        <v>28278558.359999999</v>
      </c>
      <c r="I50" s="12">
        <v>10</v>
      </c>
      <c r="J50" s="12" t="s">
        <v>57</v>
      </c>
    </row>
    <row r="51" spans="1:10" x14ac:dyDescent="0.25">
      <c r="A51" s="9" t="str">
        <f t="shared" si="16"/>
        <v>ENT - OCyG - Revisado I Sometido 2018</v>
      </c>
      <c r="B51" s="12" t="s">
        <v>45</v>
      </c>
      <c r="C51" s="12" t="s">
        <v>3</v>
      </c>
      <c r="D51" s="12" t="s">
        <v>14</v>
      </c>
      <c r="E51" s="17">
        <f t="shared" ref="E51:E52" si="19">F51*10</f>
        <v>-5281302560641.3799</v>
      </c>
      <c r="F51" s="17">
        <v>-528130256064.138</v>
      </c>
      <c r="G51" s="17">
        <f t="shared" si="18"/>
        <v>-5281302560641.3799</v>
      </c>
      <c r="H51" s="17">
        <v>0</v>
      </c>
      <c r="I51" s="12">
        <v>10</v>
      </c>
      <c r="J51" s="12" t="s">
        <v>57</v>
      </c>
    </row>
    <row r="52" spans="1:10" x14ac:dyDescent="0.25">
      <c r="A52" s="9" t="str">
        <f t="shared" si="16"/>
        <v>ENT - Inversión - Revisado I Sometido 2018</v>
      </c>
      <c r="B52" s="12" t="s">
        <v>45</v>
      </c>
      <c r="C52" s="12" t="s">
        <v>3</v>
      </c>
      <c r="D52" s="12" t="s">
        <v>15</v>
      </c>
      <c r="E52" s="17">
        <f t="shared" si="19"/>
        <v>72689390000</v>
      </c>
      <c r="F52" s="17">
        <v>7268939000</v>
      </c>
      <c r="G52" s="17">
        <f t="shared" si="18"/>
        <v>71980690000</v>
      </c>
      <c r="H52" s="17">
        <v>70870000</v>
      </c>
      <c r="I52" s="12">
        <v>10</v>
      </c>
      <c r="J52" s="12" t="s">
        <v>57</v>
      </c>
    </row>
    <row r="53" spans="1:10" x14ac:dyDescent="0.25">
      <c r="A53" s="9" t="str">
        <f t="shared" si="16"/>
        <v>PDV MARINA - Operación - Revisado I Sometido 2018</v>
      </c>
      <c r="B53" s="12" t="s">
        <v>45</v>
      </c>
      <c r="C53" s="12" t="s">
        <v>0</v>
      </c>
      <c r="D53" s="12" t="s">
        <v>13</v>
      </c>
      <c r="E53" s="17">
        <f>F53*10</f>
        <v>6448736985771.1055</v>
      </c>
      <c r="F53" s="17">
        <v>644873698577.1106</v>
      </c>
      <c r="G53" s="17">
        <f t="shared" si="18"/>
        <v>6442772902722.7051</v>
      </c>
      <c r="H53" s="17">
        <v>596408304.84000003</v>
      </c>
      <c r="I53" s="12">
        <v>10</v>
      </c>
      <c r="J53" s="12" t="s">
        <v>57</v>
      </c>
    </row>
    <row r="54" spans="1:10" x14ac:dyDescent="0.25">
      <c r="A54" s="9" t="str">
        <f t="shared" si="16"/>
        <v>PDV MARINA - OCyG - Revisado I Sometido 2018</v>
      </c>
      <c r="B54" s="12" t="s">
        <v>45</v>
      </c>
      <c r="C54" s="12" t="s">
        <v>0</v>
      </c>
      <c r="D54" s="12" t="s">
        <v>14</v>
      </c>
      <c r="E54" s="17">
        <f t="shared" ref="E54:E55" si="20">F54*10</f>
        <v>-6442374109156.0068</v>
      </c>
      <c r="F54" s="17">
        <v>-644237410915.60071</v>
      </c>
      <c r="G54" s="17">
        <f t="shared" si="18"/>
        <v>-6442772902722.707</v>
      </c>
      <c r="H54" s="17">
        <v>39879356.670000002</v>
      </c>
      <c r="I54" s="12">
        <v>10</v>
      </c>
      <c r="J54" s="12" t="s">
        <v>57</v>
      </c>
    </row>
    <row r="55" spans="1:10" x14ac:dyDescent="0.25">
      <c r="A55" s="9" t="str">
        <f t="shared" si="16"/>
        <v>PDV MARINA - Inversión - Revisado I Sometido 2018</v>
      </c>
      <c r="B55" s="12" t="s">
        <v>45</v>
      </c>
      <c r="C55" s="12" t="s">
        <v>0</v>
      </c>
      <c r="D55" s="12" t="s">
        <v>15</v>
      </c>
      <c r="E55" s="17">
        <f t="shared" si="20"/>
        <v>100000000</v>
      </c>
      <c r="F55" s="17">
        <v>10000000</v>
      </c>
      <c r="G55" s="17">
        <f t="shared" si="18"/>
        <v>0</v>
      </c>
      <c r="H55" s="17">
        <v>10000000</v>
      </c>
      <c r="I55" s="12">
        <v>10</v>
      </c>
      <c r="J55" s="12" t="s">
        <v>57</v>
      </c>
    </row>
    <row r="56" spans="1:10" x14ac:dyDescent="0.25">
      <c r="A56" s="9" t="str">
        <f t="shared" si="16"/>
        <v>COMMERCHAMP - Operación - Revisado I Sometido 2018</v>
      </c>
      <c r="B56" s="12" t="s">
        <v>45</v>
      </c>
      <c r="C56" s="12" t="s">
        <v>1</v>
      </c>
      <c r="D56" s="12" t="s">
        <v>13</v>
      </c>
      <c r="E56" s="17">
        <f>F56*10</f>
        <v>840000000</v>
      </c>
      <c r="F56" s="17">
        <v>84000000</v>
      </c>
      <c r="G56" s="17">
        <f t="shared" si="18"/>
        <v>840000000</v>
      </c>
      <c r="H56" s="17">
        <v>0</v>
      </c>
      <c r="I56" s="12">
        <v>10</v>
      </c>
      <c r="J56" s="12" t="s">
        <v>57</v>
      </c>
    </row>
    <row r="57" spans="1:10" x14ac:dyDescent="0.25">
      <c r="A57" s="9" t="str">
        <f t="shared" si="16"/>
        <v>COMMERCHAMP - OCyG - Revisado I Sometido 2018</v>
      </c>
      <c r="B57" s="12" t="s">
        <v>45</v>
      </c>
      <c r="C57" s="12" t="s">
        <v>1</v>
      </c>
      <c r="D57" s="12" t="s">
        <v>14</v>
      </c>
      <c r="E57" s="17">
        <f>F57*10</f>
        <v>1890572358.4145603</v>
      </c>
      <c r="F57" s="17">
        <v>189057235.84145603</v>
      </c>
      <c r="G57" s="17">
        <f t="shared" si="18"/>
        <v>1890572358.4145603</v>
      </c>
      <c r="H57" s="17">
        <v>0</v>
      </c>
      <c r="I57" s="12">
        <v>10</v>
      </c>
      <c r="J57" s="12" t="s">
        <v>57</v>
      </c>
    </row>
    <row r="58" spans="1:10" x14ac:dyDescent="0.25">
      <c r="A58" s="9" t="str">
        <f t="shared" si="16"/>
        <v>COMERCIT - Operación - Revisado I Sometido 2018</v>
      </c>
      <c r="B58" s="12" t="s">
        <v>45</v>
      </c>
      <c r="C58" s="12" t="s">
        <v>18</v>
      </c>
      <c r="D58" s="12" t="s">
        <v>13</v>
      </c>
      <c r="E58" s="17">
        <f>F58*10</f>
        <v>129679395.83999999</v>
      </c>
      <c r="F58" s="17">
        <v>12967939.583999999</v>
      </c>
      <c r="G58" s="17">
        <f t="shared" si="18"/>
        <v>0</v>
      </c>
      <c r="H58" s="17">
        <v>12967939.583999999</v>
      </c>
      <c r="I58" s="12">
        <v>10</v>
      </c>
      <c r="J58" s="12" t="s">
        <v>57</v>
      </c>
    </row>
    <row r="59" spans="1:10" x14ac:dyDescent="0.25">
      <c r="A59" s="9" t="str">
        <f t="shared" si="16"/>
        <v>COMERCIT - OCyG - Revisado I Sometido 2018</v>
      </c>
      <c r="B59" s="12" t="s">
        <v>45</v>
      </c>
      <c r="C59" s="12" t="s">
        <v>18</v>
      </c>
      <c r="D59" s="12" t="s">
        <v>14</v>
      </c>
      <c r="E59" s="17">
        <f>F59*10</f>
        <v>1252814094.3119998</v>
      </c>
      <c r="F59" s="17">
        <v>125281409.43119997</v>
      </c>
      <c r="G59" s="17">
        <f t="shared" si="18"/>
        <v>0</v>
      </c>
      <c r="H59" s="17">
        <v>125281409.43119997</v>
      </c>
      <c r="I59" s="12">
        <v>10</v>
      </c>
      <c r="J59" s="12" t="s">
        <v>57</v>
      </c>
    </row>
    <row r="60" spans="1:10" x14ac:dyDescent="0.25">
      <c r="A60" s="9" t="str">
        <f t="shared" ref="A60:A66" si="21">C60&amp;" - "&amp;D60&amp;" - "&amp;B60</f>
        <v>COMERCIO Y SUMINISTRO - Operación - Revisado I Sometido 2018</v>
      </c>
      <c r="B60" s="12" t="s">
        <v>45</v>
      </c>
      <c r="C60" s="12" t="s">
        <v>2</v>
      </c>
      <c r="D60" s="12" t="s">
        <v>13</v>
      </c>
      <c r="E60" s="17">
        <f t="shared" ref="E60:E61" si="22">F60*10</f>
        <v>12110672030100.896</v>
      </c>
      <c r="F60" s="17">
        <v>1211067203010.0896</v>
      </c>
      <c r="G60" s="17">
        <f t="shared" si="18"/>
        <v>12099837704338.9</v>
      </c>
      <c r="H60" s="17">
        <v>1083432576.1995161</v>
      </c>
      <c r="I60" s="12">
        <v>10</v>
      </c>
      <c r="J60" s="12" t="s">
        <v>57</v>
      </c>
    </row>
    <row r="61" spans="1:10" x14ac:dyDescent="0.25">
      <c r="A61" s="9" t="str">
        <f t="shared" si="21"/>
        <v>COMERCIO Y SUMINISTRO - OCyG - Revisado I Sometido 2018</v>
      </c>
      <c r="B61" s="12" t="s">
        <v>45</v>
      </c>
      <c r="C61" s="12" t="s">
        <v>2</v>
      </c>
      <c r="D61" s="12" t="s">
        <v>14</v>
      </c>
      <c r="E61" s="17">
        <f t="shared" si="22"/>
        <v>231786183333.34857</v>
      </c>
      <c r="F61" s="17">
        <v>23178618333.334858</v>
      </c>
      <c r="G61" s="17">
        <f t="shared" si="18"/>
        <v>13024850760.076111</v>
      </c>
      <c r="H61" s="17">
        <v>21876133257.327248</v>
      </c>
      <c r="I61" s="12">
        <v>10</v>
      </c>
      <c r="J61" s="12" t="s">
        <v>57</v>
      </c>
    </row>
    <row r="62" spans="1:10" x14ac:dyDescent="0.25">
      <c r="A62" s="9" t="str">
        <f t="shared" si="21"/>
        <v>COMERCIO Y SUMINISTRO - Operación - Revisado II Sometido 2018</v>
      </c>
      <c r="B62" s="12" t="s">
        <v>54</v>
      </c>
      <c r="C62" s="12" t="s">
        <v>2</v>
      </c>
      <c r="D62" s="12" t="s">
        <v>13</v>
      </c>
      <c r="E62" s="17">
        <f t="shared" ref="E62:E67" si="23">F62*I62</f>
        <v>78913661.045818999</v>
      </c>
      <c r="F62" s="17">
        <v>789136610458.18994</v>
      </c>
      <c r="G62" s="17">
        <f>E62-H62*I62</f>
        <v>78851161.045818999</v>
      </c>
      <c r="H62" s="17">
        <v>625000000</v>
      </c>
      <c r="I62" s="12">
        <v>1E-4</v>
      </c>
      <c r="J62" s="12" t="s">
        <v>58</v>
      </c>
    </row>
    <row r="63" spans="1:10" x14ac:dyDescent="0.25">
      <c r="A63" s="9" t="str">
        <f t="shared" si="21"/>
        <v>COMERCIO Y SUMINISTRO - OCyG - Revisado II Sometido 2018</v>
      </c>
      <c r="B63" s="12" t="s">
        <v>54</v>
      </c>
      <c r="C63" s="12" t="s">
        <v>2</v>
      </c>
      <c r="D63" s="12" t="s">
        <v>14</v>
      </c>
      <c r="E63" s="17">
        <f t="shared" si="23"/>
        <v>3683291.4773611804</v>
      </c>
      <c r="F63" s="17">
        <v>36832914773.611801</v>
      </c>
      <c r="G63" s="17">
        <f>E63-H63*I63</f>
        <v>176803.04229895864</v>
      </c>
      <c r="H63" s="17">
        <v>35064884350.622215</v>
      </c>
      <c r="I63" s="12">
        <v>1E-4</v>
      </c>
      <c r="J63" s="12" t="s">
        <v>58</v>
      </c>
    </row>
    <row r="64" spans="1:10" x14ac:dyDescent="0.25">
      <c r="A64" s="9" t="str">
        <f t="shared" si="21"/>
        <v>MERCADO NACIONAL - Operación - Revisado II Sometido 2018</v>
      </c>
      <c r="B64" s="12" t="s">
        <v>54</v>
      </c>
      <c r="C64" s="12" t="s">
        <v>11</v>
      </c>
      <c r="D64" s="12" t="s">
        <v>13</v>
      </c>
      <c r="E64" s="17">
        <f t="shared" si="23"/>
        <v>177249306.71127996</v>
      </c>
      <c r="F64" s="17">
        <f>H64+G64/I64</f>
        <v>1772493067112.7996</v>
      </c>
      <c r="G64" s="17">
        <v>177240268.24921298</v>
      </c>
      <c r="H64" s="17">
        <v>90384620.670000002</v>
      </c>
      <c r="I64" s="12">
        <v>1E-4</v>
      </c>
      <c r="J64" s="12" t="s">
        <v>58</v>
      </c>
    </row>
    <row r="65" spans="1:10" x14ac:dyDescent="0.25">
      <c r="A65" s="9" t="str">
        <f t="shared" si="21"/>
        <v>MERCADO NACIONAL - OCyG - Revisado II Sometido 2018</v>
      </c>
      <c r="B65" s="12" t="s">
        <v>54</v>
      </c>
      <c r="C65" s="12" t="s">
        <v>11</v>
      </c>
      <c r="D65" s="12" t="s">
        <v>14</v>
      </c>
      <c r="E65" s="17">
        <f t="shared" si="23"/>
        <v>156009040</v>
      </c>
      <c r="F65" s="17">
        <v>1560090400000</v>
      </c>
      <c r="G65" s="17">
        <f>E65-H65*I65</f>
        <v>156000000</v>
      </c>
      <c r="H65" s="17">
        <v>90400000</v>
      </c>
      <c r="I65" s="12">
        <v>1E-4</v>
      </c>
      <c r="J65" s="12" t="s">
        <v>58</v>
      </c>
    </row>
    <row r="66" spans="1:10" x14ac:dyDescent="0.25">
      <c r="A66" s="9" t="str">
        <f t="shared" si="21"/>
        <v>MERCADO NACIONAL - Inversión - Revisado II Sometido 2018</v>
      </c>
      <c r="B66" s="12" t="s">
        <v>54</v>
      </c>
      <c r="C66" s="12" t="s">
        <v>11</v>
      </c>
      <c r="D66" s="12" t="s">
        <v>15</v>
      </c>
      <c r="E66" s="17">
        <f t="shared" si="23"/>
        <v>21840814</v>
      </c>
      <c r="F66" s="17">
        <v>218408140000</v>
      </c>
      <c r="G66" s="17">
        <f>E66-H66*I66</f>
        <v>21840000</v>
      </c>
      <c r="H66" s="17">
        <v>8140000.0000000009</v>
      </c>
      <c r="I66" s="12">
        <v>1E-4</v>
      </c>
      <c r="J66" s="12" t="s">
        <v>58</v>
      </c>
    </row>
    <row r="67" spans="1:10" x14ac:dyDescent="0.25">
      <c r="A67" s="9" t="str">
        <f t="shared" ref="A67:A68" si="24">C67&amp;" - "&amp;D67&amp;" - "&amp;B67</f>
        <v>COMMERCHAMP - Operación - Revisado II Sometido 2018</v>
      </c>
      <c r="B67" s="12" t="s">
        <v>54</v>
      </c>
      <c r="C67" s="12" t="s">
        <v>1</v>
      </c>
      <c r="D67" s="12" t="s">
        <v>13</v>
      </c>
      <c r="E67" s="17">
        <f t="shared" si="23"/>
        <v>27727.7878839</v>
      </c>
      <c r="F67" s="17">
        <v>277277878.83899999</v>
      </c>
      <c r="G67" s="17">
        <f t="shared" ref="G67:G75" si="25">E67-H67*I67</f>
        <v>27727.7878839</v>
      </c>
      <c r="H67" s="17">
        <v>0</v>
      </c>
      <c r="I67" s="12">
        <v>1E-4</v>
      </c>
      <c r="J67" s="12" t="s">
        <v>58</v>
      </c>
    </row>
    <row r="68" spans="1:10" x14ac:dyDescent="0.25">
      <c r="A68" s="9" t="str">
        <f t="shared" si="24"/>
        <v>COMMERCHAMP - OCyG - Revisado II Sometido 2018</v>
      </c>
      <c r="B68" s="12" t="s">
        <v>54</v>
      </c>
      <c r="C68" s="12" t="s">
        <v>1</v>
      </c>
      <c r="D68" s="12" t="s">
        <v>14</v>
      </c>
      <c r="E68" s="17">
        <f t="shared" ref="E68:E75" si="26">F68*I68</f>
        <v>15137774.683448801</v>
      </c>
      <c r="F68" s="17">
        <v>151377746834.48801</v>
      </c>
      <c r="G68" s="17">
        <f t="shared" si="25"/>
        <v>15137774.683448801</v>
      </c>
      <c r="H68" s="17">
        <v>0</v>
      </c>
      <c r="I68" s="12">
        <v>1E-4</v>
      </c>
      <c r="J68" s="12" t="s">
        <v>58</v>
      </c>
    </row>
    <row r="69" spans="1:10" x14ac:dyDescent="0.25">
      <c r="A69" s="9" t="str">
        <f t="shared" ref="A69:A71" si="27">C69&amp;" - "&amp;D69&amp;" - "&amp;B69</f>
        <v>ENT - Operación - Revisado II Sometido 2018</v>
      </c>
      <c r="B69" s="12" t="s">
        <v>54</v>
      </c>
      <c r="C69" s="12" t="s">
        <v>3</v>
      </c>
      <c r="D69" s="12" t="s">
        <v>13</v>
      </c>
      <c r="E69" s="17">
        <f t="shared" si="26"/>
        <v>66796216.811880603</v>
      </c>
      <c r="F69" s="17">
        <v>667962168118.80603</v>
      </c>
      <c r="G69" s="17">
        <f t="shared" si="25"/>
        <v>66793216.811880603</v>
      </c>
      <c r="H69" s="17">
        <v>30000000</v>
      </c>
      <c r="I69" s="12">
        <v>1E-4</v>
      </c>
      <c r="J69" s="12" t="s">
        <v>58</v>
      </c>
    </row>
    <row r="70" spans="1:10" x14ac:dyDescent="0.25">
      <c r="A70" s="9" t="str">
        <f t="shared" si="27"/>
        <v>ENT - OCyG - Revisado II Sometido 2018</v>
      </c>
      <c r="B70" s="12" t="s">
        <v>54</v>
      </c>
      <c r="C70" s="12" t="s">
        <v>3</v>
      </c>
      <c r="D70" s="12" t="s">
        <v>14</v>
      </c>
      <c r="E70" s="17">
        <f t="shared" si="26"/>
        <v>9490.3195644000007</v>
      </c>
      <c r="F70" s="17">
        <v>94903195.644000009</v>
      </c>
      <c r="G70" s="17">
        <f t="shared" si="25"/>
        <v>9490.3195644000007</v>
      </c>
      <c r="H70" s="17">
        <v>0</v>
      </c>
      <c r="I70" s="12">
        <v>1E-4</v>
      </c>
      <c r="J70" s="12" t="s">
        <v>58</v>
      </c>
    </row>
    <row r="71" spans="1:10" x14ac:dyDescent="0.25">
      <c r="A71" s="9" t="str">
        <f t="shared" si="27"/>
        <v>ENT - Inversión - Revisado II Sometido 2018</v>
      </c>
      <c r="B71" s="12" t="s">
        <v>54</v>
      </c>
      <c r="C71" s="12" t="s">
        <v>3</v>
      </c>
      <c r="D71" s="12" t="s">
        <v>15</v>
      </c>
      <c r="E71" s="17">
        <f t="shared" si="26"/>
        <v>726893.91342115798</v>
      </c>
      <c r="F71" s="17">
        <v>7268939134.2115793</v>
      </c>
      <c r="G71" s="17">
        <f t="shared" si="25"/>
        <v>719806.91342115798</v>
      </c>
      <c r="H71" s="17">
        <v>70870000</v>
      </c>
      <c r="I71" s="12">
        <v>1E-4</v>
      </c>
      <c r="J71" s="12" t="s">
        <v>58</v>
      </c>
    </row>
    <row r="72" spans="1:10" x14ac:dyDescent="0.25">
      <c r="A72" s="9" t="str">
        <f t="shared" ref="A72:A73" si="28">C72&amp;" - "&amp;D72&amp;" - "&amp;B72</f>
        <v>COMERCIT - Operación - Revisado II Sometido 2018</v>
      </c>
      <c r="B72" s="12" t="s">
        <v>54</v>
      </c>
      <c r="C72" s="12" t="s">
        <v>18</v>
      </c>
      <c r="D72" s="12" t="s">
        <v>13</v>
      </c>
      <c r="E72" s="17">
        <f t="shared" si="26"/>
        <v>1405.816457142857</v>
      </c>
      <c r="F72" s="17">
        <v>14058164.571428569</v>
      </c>
      <c r="G72" s="17">
        <f t="shared" si="25"/>
        <v>0</v>
      </c>
      <c r="H72" s="17">
        <v>14058164.571428569</v>
      </c>
      <c r="I72" s="12">
        <v>1E-4</v>
      </c>
      <c r="J72" s="12" t="s">
        <v>58</v>
      </c>
    </row>
    <row r="73" spans="1:10" x14ac:dyDescent="0.25">
      <c r="A73" s="9" t="str">
        <f t="shared" si="28"/>
        <v>COMERCIT - OCyG - Revisado II Sometido 2018</v>
      </c>
      <c r="B73" s="12" t="s">
        <v>54</v>
      </c>
      <c r="C73" s="12" t="s">
        <v>18</v>
      </c>
      <c r="D73" s="12" t="s">
        <v>14</v>
      </c>
      <c r="E73" s="17">
        <f t="shared" si="26"/>
        <v>13581.661215507987</v>
      </c>
      <c r="F73" s="17">
        <v>135816612.15507987</v>
      </c>
      <c r="G73" s="17">
        <f t="shared" si="25"/>
        <v>0</v>
      </c>
      <c r="H73" s="17">
        <v>135816612.15507987</v>
      </c>
      <c r="I73" s="12">
        <v>1E-4</v>
      </c>
      <c r="J73" s="12" t="s">
        <v>58</v>
      </c>
    </row>
    <row r="74" spans="1:10" x14ac:dyDescent="0.25">
      <c r="A74" s="9" t="str">
        <f t="shared" ref="A74:A87" si="29">C74&amp;" - "&amp;D74&amp;" - "&amp;B74</f>
        <v>PDV MARINA - Operación - Revisado II Sometido 2018</v>
      </c>
      <c r="B74" s="12" t="s">
        <v>54</v>
      </c>
      <c r="C74" s="12" t="s">
        <v>0</v>
      </c>
      <c r="D74" s="12" t="s">
        <v>13</v>
      </c>
      <c r="E74" s="17">
        <f t="shared" si="26"/>
        <v>306776216.593041</v>
      </c>
      <c r="F74" s="17">
        <f>H74+G74/I74</f>
        <v>3067762165930.4102</v>
      </c>
      <c r="G74" s="17">
        <f>30674157.5761847*1000000/100000</f>
        <v>306741575.76184702</v>
      </c>
      <c r="H74" s="17">
        <f>346.40831194*1000000</f>
        <v>346408311.94</v>
      </c>
      <c r="I74" s="12">
        <v>1E-4</v>
      </c>
      <c r="J74" s="12" t="s">
        <v>58</v>
      </c>
    </row>
    <row r="75" spans="1:10" x14ac:dyDescent="0.25">
      <c r="A75" s="9" t="str">
        <f t="shared" si="29"/>
        <v>PDV MARINA - OCyG - Revisado II Sometido 2018</v>
      </c>
      <c r="B75" s="12" t="s">
        <v>54</v>
      </c>
      <c r="C75" s="12" t="s">
        <v>0</v>
      </c>
      <c r="D75" s="12" t="s">
        <v>14</v>
      </c>
      <c r="E75" s="17">
        <f t="shared" si="26"/>
        <v>6872.9074912000005</v>
      </c>
      <c r="F75" s="17">
        <v>68729074.912</v>
      </c>
      <c r="G75" s="17">
        <f t="shared" si="25"/>
        <v>6872.9074912000005</v>
      </c>
      <c r="H75" s="17">
        <v>0</v>
      </c>
      <c r="I75" s="12">
        <v>1E-4</v>
      </c>
      <c r="J75" s="12" t="s">
        <v>58</v>
      </c>
    </row>
    <row r="76" spans="1:10" x14ac:dyDescent="0.25">
      <c r="A76" s="25" t="str">
        <f t="shared" si="29"/>
        <v>COMERCIO Y SUMINISTRO - Operación - Original Sometido 2019</v>
      </c>
      <c r="B76" s="12" t="s">
        <v>61</v>
      </c>
      <c r="C76" s="12" t="s">
        <v>2</v>
      </c>
      <c r="D76" s="12" t="s">
        <v>13</v>
      </c>
      <c r="E76" s="22">
        <f>G76+H76*I76</f>
        <v>127341588317.94511</v>
      </c>
      <c r="F76" s="22">
        <f>G76/I76+H76</f>
        <v>1649502439.3516207</v>
      </c>
      <c r="G76" s="22">
        <v>104708161649.61165</v>
      </c>
      <c r="H76" s="22">
        <v>293179101.92141795</v>
      </c>
      <c r="I76" s="12">
        <f>BD!$D$7</f>
        <v>77.2</v>
      </c>
      <c r="J76" s="12" t="s">
        <v>58</v>
      </c>
    </row>
    <row r="77" spans="1:10" x14ac:dyDescent="0.25">
      <c r="A77" s="25" t="str">
        <f t="shared" si="29"/>
        <v>COMERCIO Y SUMINISTRO - OCyG - Original Sometido 2019</v>
      </c>
      <c r="B77" s="12" t="s">
        <v>61</v>
      </c>
      <c r="C77" s="12" t="s">
        <v>2</v>
      </c>
      <c r="D77" s="12" t="s">
        <v>14</v>
      </c>
      <c r="E77" s="22">
        <f t="shared" ref="E77:E92" si="30">G77+H77*I77</f>
        <v>2352623706611.293</v>
      </c>
      <c r="F77" s="22">
        <f t="shared" ref="F77:F92" si="31">G77/I77+H77</f>
        <v>30474400344.705864</v>
      </c>
      <c r="G77" s="22">
        <v>57938254691.515678</v>
      </c>
      <c r="H77" s="22">
        <v>29723904817.613693</v>
      </c>
      <c r="I77" s="12">
        <f>BD!$D$7</f>
        <v>77.2</v>
      </c>
      <c r="J77" s="12" t="s">
        <v>58</v>
      </c>
    </row>
    <row r="78" spans="1:10" x14ac:dyDescent="0.25">
      <c r="A78" s="25" t="str">
        <f t="shared" si="29"/>
        <v>MERCADO NACIONAL - Operación - Original Sometido 2019</v>
      </c>
      <c r="B78" s="12" t="s">
        <v>61</v>
      </c>
      <c r="C78" s="12" t="s">
        <v>11</v>
      </c>
      <c r="D78" s="12" t="s">
        <v>13</v>
      </c>
      <c r="E78" s="22">
        <f t="shared" si="30"/>
        <v>36457823476.437996</v>
      </c>
      <c r="F78" s="22">
        <f t="shared" si="31"/>
        <v>472251599.43572533</v>
      </c>
      <c r="G78" s="22">
        <v>28759286609.629997</v>
      </c>
      <c r="H78" s="22">
        <v>99721980.139999986</v>
      </c>
      <c r="I78" s="12">
        <f>BD!$D$7</f>
        <v>77.2</v>
      </c>
      <c r="J78" s="12" t="s">
        <v>58</v>
      </c>
    </row>
    <row r="79" spans="1:10" x14ac:dyDescent="0.25">
      <c r="A79" s="25" t="str">
        <f t="shared" si="29"/>
        <v>MERCADO NACIONAL - OCyG - Original Sometido 2019</v>
      </c>
      <c r="B79" s="12" t="s">
        <v>61</v>
      </c>
      <c r="C79" s="12" t="s">
        <v>11</v>
      </c>
      <c r="D79" s="12" t="s">
        <v>14</v>
      </c>
      <c r="E79" s="22">
        <f t="shared" si="30"/>
        <v>20310408085.926033</v>
      </c>
      <c r="F79" s="22">
        <f t="shared" si="31"/>
        <v>263088187.64152893</v>
      </c>
      <c r="G79" s="22">
        <v>15529544973.739599</v>
      </c>
      <c r="H79" s="22">
        <v>61928278.655264698</v>
      </c>
      <c r="I79" s="12">
        <f>BD!$D$7</f>
        <v>77.2</v>
      </c>
      <c r="J79" s="12" t="s">
        <v>58</v>
      </c>
    </row>
    <row r="80" spans="1:10" x14ac:dyDescent="0.25">
      <c r="A80" s="25" t="str">
        <f t="shared" si="29"/>
        <v>MERCADO NACIONAL - Inversión - Original Sometido 2019</v>
      </c>
      <c r="B80" s="12" t="s">
        <v>61</v>
      </c>
      <c r="C80" s="12" t="s">
        <v>11</v>
      </c>
      <c r="D80" s="12" t="s">
        <v>15</v>
      </c>
      <c r="E80" s="22">
        <f t="shared" si="30"/>
        <v>56025670000</v>
      </c>
      <c r="F80" s="22">
        <f t="shared" si="31"/>
        <v>725721113.98963737</v>
      </c>
      <c r="G80" s="22">
        <v>38647950000</v>
      </c>
      <c r="H80" s="22">
        <v>225100000</v>
      </c>
      <c r="I80" s="12">
        <f>BD!$D$7</f>
        <v>77.2</v>
      </c>
      <c r="J80" s="12" t="s">
        <v>58</v>
      </c>
    </row>
    <row r="81" spans="1:10" x14ac:dyDescent="0.25">
      <c r="A81" s="25" t="str">
        <f t="shared" si="29"/>
        <v>COMMERCHAMP - Operación - Original Sometido 2019</v>
      </c>
      <c r="B81" s="12" t="s">
        <v>61</v>
      </c>
      <c r="C81" s="12" t="s">
        <v>1</v>
      </c>
      <c r="D81" s="12" t="s">
        <v>13</v>
      </c>
      <c r="E81" s="22">
        <f t="shared" si="30"/>
        <v>3770231.9</v>
      </c>
      <c r="F81" s="22">
        <f t="shared" si="31"/>
        <v>48837.200777202066</v>
      </c>
      <c r="G81" s="22">
        <v>3770231.9</v>
      </c>
      <c r="H81" s="22">
        <v>0</v>
      </c>
      <c r="I81" s="12">
        <f>BD!$D$7</f>
        <v>77.2</v>
      </c>
      <c r="J81" s="12" t="s">
        <v>58</v>
      </c>
    </row>
    <row r="82" spans="1:10" x14ac:dyDescent="0.25">
      <c r="A82" s="25" t="str">
        <f t="shared" si="29"/>
        <v>COMMERCHAMP - OCyG - Original Sometido 2019</v>
      </c>
      <c r="B82" s="12" t="s">
        <v>61</v>
      </c>
      <c r="C82" s="12" t="s">
        <v>1</v>
      </c>
      <c r="D82" s="12" t="s">
        <v>14</v>
      </c>
      <c r="E82" s="22">
        <f t="shared" si="30"/>
        <v>14924706838.539551</v>
      </c>
      <c r="F82" s="22">
        <f t="shared" si="31"/>
        <v>193325218.11579728</v>
      </c>
      <c r="G82" s="22">
        <v>14924706838.539551</v>
      </c>
      <c r="H82" s="22">
        <v>0</v>
      </c>
      <c r="I82" s="12">
        <f>BD!$D$7</f>
        <v>77.2</v>
      </c>
      <c r="J82" s="12" t="s">
        <v>58</v>
      </c>
    </row>
    <row r="83" spans="1:10" x14ac:dyDescent="0.25">
      <c r="A83" s="25" t="str">
        <f t="shared" si="29"/>
        <v>ENT - Operación - Original Sometido 2019</v>
      </c>
      <c r="B83" s="12" t="s">
        <v>61</v>
      </c>
      <c r="C83" s="12" t="s">
        <v>3</v>
      </c>
      <c r="D83" s="12" t="s">
        <v>13</v>
      </c>
      <c r="E83" s="22">
        <f t="shared" si="30"/>
        <v>3017865557.843648</v>
      </c>
      <c r="F83" s="22">
        <f t="shared" si="31"/>
        <v>39091522.769995436</v>
      </c>
      <c r="G83" s="22">
        <v>1473865557.843648</v>
      </c>
      <c r="H83" s="22">
        <v>20000000</v>
      </c>
      <c r="I83" s="12">
        <f>BD!$D$7</f>
        <v>77.2</v>
      </c>
      <c r="J83" s="12" t="s">
        <v>58</v>
      </c>
    </row>
    <row r="84" spans="1:10" x14ac:dyDescent="0.25">
      <c r="A84" s="25" t="str">
        <f t="shared" si="29"/>
        <v>ENT - OCyG - Original Sometido 2019</v>
      </c>
      <c r="B84" s="12" t="s">
        <v>61</v>
      </c>
      <c r="C84" s="12" t="s">
        <v>3</v>
      </c>
      <c r="D84" s="12" t="s">
        <v>14</v>
      </c>
      <c r="E84" s="22">
        <f t="shared" si="30"/>
        <v>-1345607224.6436481</v>
      </c>
      <c r="F84" s="22">
        <f t="shared" si="31"/>
        <v>-17430145.396938447</v>
      </c>
      <c r="G84" s="22">
        <v>-1345607224.6436481</v>
      </c>
      <c r="H84" s="22">
        <v>0</v>
      </c>
      <c r="I84" s="12">
        <f>BD!$D$7</f>
        <v>77.2</v>
      </c>
      <c r="J84" s="12" t="s">
        <v>58</v>
      </c>
    </row>
    <row r="85" spans="1:10" x14ac:dyDescent="0.25">
      <c r="A85" s="25" t="str">
        <f t="shared" si="29"/>
        <v>ENT - Inversión - Original Sometido 2019</v>
      </c>
      <c r="B85" s="12" t="s">
        <v>61</v>
      </c>
      <c r="C85" s="12" t="s">
        <v>3</v>
      </c>
      <c r="D85" s="12" t="s">
        <v>15</v>
      </c>
      <c r="E85" s="22">
        <f t="shared" si="30"/>
        <v>8735800000</v>
      </c>
      <c r="F85" s="22">
        <f t="shared" si="31"/>
        <v>113158031.08808291</v>
      </c>
      <c r="G85" s="22">
        <v>3023000000</v>
      </c>
      <c r="H85" s="22">
        <v>74000000</v>
      </c>
      <c r="I85" s="12">
        <f>BD!$D$7</f>
        <v>77.2</v>
      </c>
      <c r="J85" s="12" t="s">
        <v>58</v>
      </c>
    </row>
    <row r="86" spans="1:10" x14ac:dyDescent="0.25">
      <c r="A86" s="25" t="str">
        <f t="shared" si="29"/>
        <v>COMERCIT - Operación - Original Sometido 2019</v>
      </c>
      <c r="B86" s="12" t="s">
        <v>61</v>
      </c>
      <c r="C86" s="12" t="s">
        <v>18</v>
      </c>
      <c r="D86" s="12" t="s">
        <v>13</v>
      </c>
      <c r="E86" s="22">
        <f t="shared" si="30"/>
        <v>1120944000.0000002</v>
      </c>
      <c r="F86" s="22">
        <f t="shared" si="31"/>
        <v>14520000.000000002</v>
      </c>
      <c r="G86" s="22">
        <v>0</v>
      </c>
      <c r="H86" s="22">
        <v>14520000.000000002</v>
      </c>
      <c r="I86" s="12">
        <f>BD!$D$7</f>
        <v>77.2</v>
      </c>
      <c r="J86" s="12" t="s">
        <v>58</v>
      </c>
    </row>
    <row r="87" spans="1:10" x14ac:dyDescent="0.25">
      <c r="A87" s="25" t="str">
        <f t="shared" si="29"/>
        <v>COMERCIT - OCyG - Original Sometido 2019</v>
      </c>
      <c r="B87" s="12" t="s">
        <v>61</v>
      </c>
      <c r="C87" s="12" t="s">
        <v>18</v>
      </c>
      <c r="D87" s="12" t="s">
        <v>14</v>
      </c>
      <c r="E87" s="22">
        <f t="shared" si="30"/>
        <v>11332306389.24888</v>
      </c>
      <c r="F87" s="22">
        <f t="shared" si="31"/>
        <v>146791533.53949326</v>
      </c>
      <c r="G87" s="22">
        <v>0</v>
      </c>
      <c r="H87" s="22">
        <v>146791533.53949326</v>
      </c>
      <c r="I87" s="12">
        <f>BD!$D$7</f>
        <v>77.2</v>
      </c>
      <c r="J87" s="12" t="s">
        <v>58</v>
      </c>
    </row>
    <row r="88" spans="1:10" x14ac:dyDescent="0.25">
      <c r="A88" s="25" t="str">
        <f t="shared" ref="A88:A92" si="32">C88&amp;" - "&amp;D88&amp;" - "&amp;B88</f>
        <v>PDV MARINA - Operación - Original Sometido 2019</v>
      </c>
      <c r="B88" s="12" t="s">
        <v>61</v>
      </c>
      <c r="C88" s="12" t="s">
        <v>0</v>
      </c>
      <c r="D88" s="12" t="s">
        <v>13</v>
      </c>
      <c r="E88" s="22">
        <f t="shared" si="30"/>
        <v>53721336152.832008</v>
      </c>
      <c r="F88" s="22">
        <f t="shared" si="31"/>
        <v>695872229.95896375</v>
      </c>
      <c r="G88" s="22">
        <v>11129696811.9</v>
      </c>
      <c r="H88" s="22">
        <v>551705172.81000006</v>
      </c>
      <c r="I88" s="12">
        <f>BD!$D$7</f>
        <v>77.2</v>
      </c>
      <c r="J88" s="12" t="s">
        <v>58</v>
      </c>
    </row>
    <row r="89" spans="1:10" x14ac:dyDescent="0.25">
      <c r="A89" s="25" t="str">
        <f t="shared" si="32"/>
        <v>PDV MARINA - OCyG - Original Sometido 2019</v>
      </c>
      <c r="B89" s="12" t="s">
        <v>61</v>
      </c>
      <c r="C89" s="12" t="s">
        <v>0</v>
      </c>
      <c r="D89" s="12" t="s">
        <v>14</v>
      </c>
      <c r="E89" s="22">
        <f t="shared" si="30"/>
        <v>-37486561824.863403</v>
      </c>
      <c r="F89" s="22">
        <f t="shared" si="31"/>
        <v>-485577225.71066582</v>
      </c>
      <c r="G89" s="22">
        <v>-37486561824.863403</v>
      </c>
      <c r="H89" s="22">
        <v>0</v>
      </c>
      <c r="I89" s="12">
        <f>BD!$D$7</f>
        <v>77.2</v>
      </c>
      <c r="J89" s="12" t="s">
        <v>58</v>
      </c>
    </row>
    <row r="90" spans="1:10" x14ac:dyDescent="0.25">
      <c r="A90" s="25" t="str">
        <f t="shared" si="32"/>
        <v>PDVSA NAVAL - Operación - Original Sometido 2019</v>
      </c>
      <c r="B90" s="12" t="s">
        <v>61</v>
      </c>
      <c r="C90" s="12" t="s">
        <v>52</v>
      </c>
      <c r="D90" s="12" t="s">
        <v>13</v>
      </c>
      <c r="E90" s="22">
        <f t="shared" si="30"/>
        <v>14795338883.230803</v>
      </c>
      <c r="F90" s="22">
        <f t="shared" si="31"/>
        <v>191649467.39936271</v>
      </c>
      <c r="G90" s="17">
        <v>14662720137.550802</v>
      </c>
      <c r="H90" s="17">
        <v>1717859.4000000001</v>
      </c>
      <c r="I90" s="12">
        <f>BD!$D$7</f>
        <v>77.2</v>
      </c>
      <c r="J90" s="12" t="s">
        <v>58</v>
      </c>
    </row>
    <row r="91" spans="1:10" x14ac:dyDescent="0.25">
      <c r="A91" s="25" t="str">
        <f t="shared" si="32"/>
        <v>PDVSA NAVAL - OCyG - Original Sometido 2019</v>
      </c>
      <c r="B91" s="12" t="s">
        <v>61</v>
      </c>
      <c r="C91" s="12" t="s">
        <v>52</v>
      </c>
      <c r="D91" s="12" t="s">
        <v>14</v>
      </c>
      <c r="E91" s="22">
        <f t="shared" si="30"/>
        <v>-12835253462.341801</v>
      </c>
      <c r="F91" s="22">
        <f t="shared" si="31"/>
        <v>-166259759.87489378</v>
      </c>
      <c r="G91" s="17">
        <v>-12835253462.341801</v>
      </c>
      <c r="H91" s="17">
        <v>0</v>
      </c>
      <c r="I91" s="12">
        <f>BD!$D$7</f>
        <v>77.2</v>
      </c>
      <c r="J91" s="12" t="s">
        <v>58</v>
      </c>
    </row>
    <row r="92" spans="1:10" x14ac:dyDescent="0.25">
      <c r="A92" s="25" t="str">
        <f t="shared" si="32"/>
        <v>PDVSA NAVAL - Inversión - Original Sometido 2019</v>
      </c>
      <c r="B92" s="12" t="s">
        <v>61</v>
      </c>
      <c r="C92" s="12" t="s">
        <v>52</v>
      </c>
      <c r="D92" s="12" t="s">
        <v>15</v>
      </c>
      <c r="E92" s="22">
        <f t="shared" si="30"/>
        <v>29521539404.276001</v>
      </c>
      <c r="F92" s="22">
        <f t="shared" si="31"/>
        <v>382403360.15901554</v>
      </c>
      <c r="G92" s="17">
        <v>28330460800</v>
      </c>
      <c r="H92" s="17">
        <v>15428479.33</v>
      </c>
      <c r="I92" s="12">
        <f>BD!$D$7</f>
        <v>77.2</v>
      </c>
      <c r="J92" s="12" t="s">
        <v>58</v>
      </c>
    </row>
  </sheetData>
  <autoFilter ref="A1:H75"/>
  <dataValidations count="3">
    <dataValidation type="list" allowBlank="1" showInputMessage="1" showErrorMessage="1" sqref="C2:C1048576">
      <formula1>NegocioFilial</formula1>
    </dataValidation>
    <dataValidation type="list" allowBlank="1" showInputMessage="1" showErrorMessage="1" sqref="D2:D1048576">
      <formula1>Presupuesto</formula1>
    </dataValidation>
    <dataValidation type="list" allowBlank="1" showInputMessage="1" showErrorMessage="1" sqref="B2:B1048576">
      <formula1>EventoSometido</formula1>
    </dataValidation>
  </dataValidation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226"/>
  <sheetViews>
    <sheetView tabSelected="1" workbookViewId="0">
      <pane xSplit="4" ySplit="2" topLeftCell="E158" activePane="bottomRight" state="frozen"/>
      <selection pane="topRight" activeCell="D1" sqref="D1"/>
      <selection pane="bottomLeft" activeCell="A2" sqref="A2"/>
      <selection pane="bottomRight" activeCell="H223" sqref="H223"/>
    </sheetView>
  </sheetViews>
  <sheetFormatPr baseColWidth="10" defaultColWidth="9.140625" defaultRowHeight="11.25" x14ac:dyDescent="0.25"/>
  <cols>
    <col min="1" max="1" width="16.85546875" style="9" hidden="1" customWidth="1"/>
    <col min="2" max="2" width="55.5703125" style="12" customWidth="1"/>
    <col min="3" max="3" width="1.7109375" style="12" customWidth="1"/>
    <col min="4" max="4" width="17.5703125" style="12" bestFit="1" customWidth="1"/>
    <col min="5" max="5" width="16.140625" style="12" customWidth="1"/>
    <col min="6" max="6" width="17.5703125" style="22" bestFit="1" customWidth="1"/>
    <col min="7" max="7" width="20.5703125" style="22" bestFit="1" customWidth="1"/>
    <col min="8" max="8" width="16.7109375" style="22" bestFit="1" customWidth="1"/>
    <col min="9" max="9" width="15.7109375" style="22" customWidth="1"/>
    <col min="10" max="12" width="9.140625" style="12"/>
    <col min="13" max="13" width="19" style="22" bestFit="1" customWidth="1"/>
    <col min="14" max="16384" width="9.140625" style="12"/>
  </cols>
  <sheetData>
    <row r="1" spans="1:9" x14ac:dyDescent="0.25">
      <c r="D1" s="5" t="s">
        <v>47</v>
      </c>
      <c r="E1" s="22">
        <v>2366</v>
      </c>
    </row>
    <row r="2" spans="1:9" x14ac:dyDescent="0.25">
      <c r="A2" s="10" t="s">
        <v>27</v>
      </c>
      <c r="B2" s="2" t="s">
        <v>4</v>
      </c>
      <c r="D2" s="2" t="s">
        <v>9</v>
      </c>
      <c r="E2" s="2" t="s">
        <v>12</v>
      </c>
      <c r="F2" s="4" t="s">
        <v>48</v>
      </c>
      <c r="G2" s="4" t="s">
        <v>6</v>
      </c>
      <c r="H2" s="4" t="s">
        <v>49</v>
      </c>
      <c r="I2" s="4" t="s">
        <v>8</v>
      </c>
    </row>
    <row r="3" spans="1:9" x14ac:dyDescent="0.25">
      <c r="A3" s="9" t="str">
        <f>D3&amp;" - "&amp;E3</f>
        <v>PETROMAR - Compras</v>
      </c>
      <c r="C3" s="21"/>
      <c r="D3" s="12" t="s">
        <v>10</v>
      </c>
      <c r="E3" s="12" t="s">
        <v>17</v>
      </c>
      <c r="F3" s="22">
        <f>I3*E1</f>
        <v>312051740000</v>
      </c>
      <c r="G3" s="22">
        <f>F3/$E$1</f>
        <v>131890000</v>
      </c>
      <c r="H3" s="22">
        <f>F3-I3*$E$1</f>
        <v>0</v>
      </c>
      <c r="I3" s="22">
        <v>131890000</v>
      </c>
    </row>
    <row r="4" spans="1:9" x14ac:dyDescent="0.25">
      <c r="A4" s="9" t="str">
        <f t="shared" ref="A4:A67" si="0">D4&amp;" - "&amp;E4</f>
        <v xml:space="preserve"> - </v>
      </c>
      <c r="C4" s="21"/>
    </row>
    <row r="5" spans="1:9" x14ac:dyDescent="0.25">
      <c r="A5" s="9" t="str">
        <f t="shared" si="0"/>
        <v xml:space="preserve"> - </v>
      </c>
      <c r="C5" s="21"/>
    </row>
    <row r="6" spans="1:9" x14ac:dyDescent="0.25">
      <c r="A6" s="9" t="str">
        <f t="shared" si="0"/>
        <v xml:space="preserve"> - </v>
      </c>
      <c r="C6" s="21"/>
    </row>
    <row r="7" spans="1:9" x14ac:dyDescent="0.25">
      <c r="A7" s="9" t="str">
        <f t="shared" si="0"/>
        <v xml:space="preserve"> - </v>
      </c>
      <c r="C7" s="21"/>
    </row>
    <row r="8" spans="1:9" x14ac:dyDescent="0.25">
      <c r="A8" s="9" t="str">
        <f t="shared" si="0"/>
        <v xml:space="preserve"> - </v>
      </c>
      <c r="C8" s="21"/>
    </row>
    <row r="9" spans="1:9" x14ac:dyDescent="0.25">
      <c r="A9" s="9" t="str">
        <f t="shared" si="0"/>
        <v xml:space="preserve"> - </v>
      </c>
      <c r="C9" s="21"/>
    </row>
    <row r="10" spans="1:9" x14ac:dyDescent="0.25">
      <c r="A10" s="9" t="str">
        <f t="shared" si="0"/>
        <v xml:space="preserve"> - </v>
      </c>
      <c r="C10" s="21"/>
    </row>
    <row r="11" spans="1:9" x14ac:dyDescent="0.25">
      <c r="A11" s="9" t="str">
        <f t="shared" si="0"/>
        <v xml:space="preserve"> - </v>
      </c>
      <c r="C11" s="21"/>
    </row>
    <row r="12" spans="1:9" x14ac:dyDescent="0.25">
      <c r="A12" s="9" t="str">
        <f t="shared" si="0"/>
        <v xml:space="preserve"> - </v>
      </c>
      <c r="C12" s="21"/>
    </row>
    <row r="13" spans="1:9" x14ac:dyDescent="0.25">
      <c r="A13" s="9" t="str">
        <f t="shared" si="0"/>
        <v xml:space="preserve"> - </v>
      </c>
      <c r="C13" s="21"/>
    </row>
    <row r="14" spans="1:9" x14ac:dyDescent="0.25">
      <c r="A14" s="9" t="str">
        <f t="shared" si="0"/>
        <v xml:space="preserve"> - </v>
      </c>
      <c r="C14" s="21"/>
    </row>
    <row r="15" spans="1:9" x14ac:dyDescent="0.25">
      <c r="A15" s="9" t="str">
        <f t="shared" si="0"/>
        <v xml:space="preserve"> - </v>
      </c>
      <c r="C15" s="21"/>
    </row>
    <row r="16" spans="1:9" x14ac:dyDescent="0.25">
      <c r="A16" s="9" t="str">
        <f t="shared" si="0"/>
        <v xml:space="preserve"> - </v>
      </c>
      <c r="C16" s="21"/>
    </row>
    <row r="17" spans="1:9" x14ac:dyDescent="0.25">
      <c r="A17" s="9" t="str">
        <f t="shared" si="0"/>
        <v>COMERCIT - Operación</v>
      </c>
      <c r="C17" s="21"/>
      <c r="D17" s="12" t="s">
        <v>18</v>
      </c>
      <c r="E17" s="12" t="s">
        <v>13</v>
      </c>
      <c r="F17" s="22">
        <v>15989463450.18</v>
      </c>
      <c r="G17" s="22">
        <f t="shared" ref="G17" si="1">F17/$E$1</f>
        <v>6758014.9831699068</v>
      </c>
      <c r="H17" s="22">
        <f t="shared" ref="H17" si="2">F17-I17*$E$1</f>
        <v>0</v>
      </c>
      <c r="I17" s="22">
        <f>F17/E1</f>
        <v>6758014.9831699068</v>
      </c>
    </row>
    <row r="18" spans="1:9" x14ac:dyDescent="0.25">
      <c r="A18" s="9" t="str">
        <f t="shared" si="0"/>
        <v>COMERCIT - OCyG</v>
      </c>
      <c r="C18" s="21"/>
      <c r="D18" s="12" t="s">
        <v>18</v>
      </c>
      <c r="E18" s="12" t="s">
        <v>14</v>
      </c>
      <c r="F18" s="24">
        <f>H18+I18*E1</f>
        <v>347347368355.63995</v>
      </c>
      <c r="G18" s="22">
        <f>H18/E1+I18</f>
        <v>146807847.99477598</v>
      </c>
      <c r="H18" s="22">
        <v>38600000</v>
      </c>
      <c r="I18" s="22">
        <v>146791533.53999999</v>
      </c>
    </row>
    <row r="19" spans="1:9" x14ac:dyDescent="0.25">
      <c r="A19" s="9" t="str">
        <f t="shared" si="0"/>
        <v xml:space="preserve"> - </v>
      </c>
      <c r="C19" s="21"/>
    </row>
    <row r="20" spans="1:9" x14ac:dyDescent="0.25">
      <c r="A20" s="9" t="str">
        <f t="shared" si="0"/>
        <v xml:space="preserve"> - </v>
      </c>
      <c r="C20" s="21"/>
    </row>
    <row r="21" spans="1:9" x14ac:dyDescent="0.25">
      <c r="A21" s="9" t="str">
        <f t="shared" si="0"/>
        <v xml:space="preserve"> - </v>
      </c>
      <c r="C21" s="21"/>
    </row>
    <row r="22" spans="1:9" x14ac:dyDescent="0.25">
      <c r="A22" s="9" t="str">
        <f t="shared" si="0"/>
        <v xml:space="preserve"> - </v>
      </c>
      <c r="C22" s="21"/>
    </row>
    <row r="23" spans="1:9" x14ac:dyDescent="0.25">
      <c r="A23" s="9" t="str">
        <f t="shared" si="0"/>
        <v xml:space="preserve"> - </v>
      </c>
      <c r="C23" s="21"/>
    </row>
    <row r="24" spans="1:9" x14ac:dyDescent="0.25">
      <c r="A24" s="9" t="str">
        <f t="shared" si="0"/>
        <v xml:space="preserve"> - </v>
      </c>
      <c r="C24" s="21"/>
    </row>
    <row r="25" spans="1:9" x14ac:dyDescent="0.25">
      <c r="A25" s="9" t="str">
        <f t="shared" si="0"/>
        <v xml:space="preserve"> - </v>
      </c>
      <c r="C25" s="21"/>
    </row>
    <row r="26" spans="1:9" x14ac:dyDescent="0.25">
      <c r="A26" s="9" t="str">
        <f t="shared" si="0"/>
        <v xml:space="preserve"> - </v>
      </c>
      <c r="C26" s="21"/>
    </row>
    <row r="27" spans="1:9" x14ac:dyDescent="0.25">
      <c r="A27" s="9" t="str">
        <f t="shared" si="0"/>
        <v xml:space="preserve"> - </v>
      </c>
      <c r="C27" s="21"/>
    </row>
    <row r="28" spans="1:9" x14ac:dyDescent="0.25">
      <c r="A28" s="9" t="str">
        <f t="shared" si="0"/>
        <v xml:space="preserve"> - </v>
      </c>
      <c r="C28" s="21"/>
    </row>
    <row r="29" spans="1:9" x14ac:dyDescent="0.25">
      <c r="A29" s="9" t="str">
        <f t="shared" si="0"/>
        <v xml:space="preserve"> - </v>
      </c>
      <c r="C29" s="21"/>
    </row>
    <row r="30" spans="1:9" x14ac:dyDescent="0.25">
      <c r="A30" s="9" t="str">
        <f t="shared" si="0"/>
        <v xml:space="preserve"> - </v>
      </c>
      <c r="C30" s="21"/>
    </row>
    <row r="31" spans="1:9" x14ac:dyDescent="0.25">
      <c r="A31" s="9" t="str">
        <f t="shared" si="0"/>
        <v xml:space="preserve"> - </v>
      </c>
      <c r="C31" s="21"/>
    </row>
    <row r="32" spans="1:9" x14ac:dyDescent="0.25">
      <c r="A32" s="9" t="str">
        <f t="shared" si="0"/>
        <v xml:space="preserve"> - </v>
      </c>
      <c r="C32" s="21"/>
    </row>
    <row r="33" spans="1:9" x14ac:dyDescent="0.25">
      <c r="A33" s="9" t="str">
        <f t="shared" si="0"/>
        <v xml:space="preserve"> - </v>
      </c>
      <c r="C33" s="21"/>
    </row>
    <row r="34" spans="1:9" x14ac:dyDescent="0.25">
      <c r="A34" s="9" t="str">
        <f t="shared" si="0"/>
        <v xml:space="preserve"> - </v>
      </c>
      <c r="C34" s="21"/>
    </row>
    <row r="35" spans="1:9" x14ac:dyDescent="0.25">
      <c r="A35" s="9" t="str">
        <f t="shared" si="0"/>
        <v xml:space="preserve"> - </v>
      </c>
      <c r="C35" s="21"/>
    </row>
    <row r="36" spans="1:9" x14ac:dyDescent="0.25">
      <c r="A36" s="9" t="str">
        <f t="shared" si="0"/>
        <v xml:space="preserve"> - </v>
      </c>
      <c r="C36" s="21"/>
    </row>
    <row r="37" spans="1:9" x14ac:dyDescent="0.25">
      <c r="A37" s="9" t="str">
        <f t="shared" si="0"/>
        <v xml:space="preserve"> - </v>
      </c>
      <c r="C37" s="21"/>
    </row>
    <row r="38" spans="1:9" x14ac:dyDescent="0.25">
      <c r="A38" s="9" t="str">
        <f t="shared" si="0"/>
        <v xml:space="preserve"> - </v>
      </c>
      <c r="C38" s="21"/>
    </row>
    <row r="39" spans="1:9" x14ac:dyDescent="0.25">
      <c r="A39" s="9" t="str">
        <f t="shared" si="0"/>
        <v xml:space="preserve"> - </v>
      </c>
      <c r="C39" s="21"/>
    </row>
    <row r="40" spans="1:9" x14ac:dyDescent="0.25">
      <c r="A40" s="9" t="str">
        <f t="shared" si="0"/>
        <v xml:space="preserve"> - </v>
      </c>
      <c r="C40" s="21"/>
    </row>
    <row r="41" spans="1:9" x14ac:dyDescent="0.25">
      <c r="A41" s="9" t="str">
        <f t="shared" si="0"/>
        <v xml:space="preserve"> - </v>
      </c>
      <c r="C41" s="21"/>
    </row>
    <row r="42" spans="1:9" x14ac:dyDescent="0.25">
      <c r="A42" s="9" t="str">
        <f t="shared" si="0"/>
        <v xml:space="preserve"> - </v>
      </c>
      <c r="C42" s="21"/>
    </row>
    <row r="43" spans="1:9" x14ac:dyDescent="0.25">
      <c r="A43" s="9" t="str">
        <f t="shared" si="0"/>
        <v xml:space="preserve"> - </v>
      </c>
      <c r="C43" s="21"/>
    </row>
    <row r="44" spans="1:9" x14ac:dyDescent="0.25">
      <c r="A44" s="9" t="str">
        <f t="shared" si="0"/>
        <v xml:space="preserve"> - </v>
      </c>
      <c r="C44" s="21"/>
    </row>
    <row r="45" spans="1:9" x14ac:dyDescent="0.25">
      <c r="A45" s="9" t="str">
        <f t="shared" si="0"/>
        <v>PDV MARINA - Operación</v>
      </c>
      <c r="C45" s="21"/>
      <c r="D45" s="12" t="s">
        <v>0</v>
      </c>
      <c r="E45" s="12" t="s">
        <v>13</v>
      </c>
      <c r="F45" s="24">
        <f>H45+I45*$E$1</f>
        <v>618668932069.40002</v>
      </c>
      <c r="G45" s="22">
        <f>H45/$E$1+I45</f>
        <v>261483065.11808962</v>
      </c>
      <c r="H45" s="22">
        <v>11129696811.9</v>
      </c>
      <c r="I45" s="22">
        <v>256779051.25</v>
      </c>
    </row>
    <row r="46" spans="1:9" x14ac:dyDescent="0.25">
      <c r="A46" s="9" t="str">
        <f t="shared" si="0"/>
        <v>PDV MARINA - OCyG</v>
      </c>
      <c r="C46" s="21"/>
      <c r="D46" s="12" t="s">
        <v>0</v>
      </c>
      <c r="E46" s="12" t="s">
        <v>14</v>
      </c>
      <c r="F46" s="22">
        <f>H46+I46*$E$1</f>
        <v>55041858201.18</v>
      </c>
      <c r="G46" s="22">
        <f>H46/$E$1+I46</f>
        <v>23263676.331859678</v>
      </c>
      <c r="H46" s="22">
        <v>55029555001.18</v>
      </c>
      <c r="I46" s="22">
        <v>5200</v>
      </c>
    </row>
    <row r="47" spans="1:9" x14ac:dyDescent="0.25">
      <c r="A47" s="9" t="str">
        <f t="shared" si="0"/>
        <v>PDV MARINA - Inversión</v>
      </c>
      <c r="C47" s="21"/>
      <c r="D47" s="12" t="s">
        <v>0</v>
      </c>
      <c r="E47" s="12" t="s">
        <v>15</v>
      </c>
      <c r="F47" s="22">
        <v>0</v>
      </c>
      <c r="G47" s="22">
        <f t="shared" ref="G47" si="3">F47/$E$1</f>
        <v>0</v>
      </c>
      <c r="H47" s="22">
        <f t="shared" ref="H47" si="4">F47-I47*$E$1</f>
        <v>0</v>
      </c>
      <c r="I47" s="22">
        <v>0</v>
      </c>
    </row>
    <row r="48" spans="1:9" x14ac:dyDescent="0.25">
      <c r="A48" s="9" t="str">
        <f t="shared" si="0"/>
        <v xml:space="preserve"> - </v>
      </c>
      <c r="C48" s="21"/>
    </row>
    <row r="49" spans="1:3" x14ac:dyDescent="0.25">
      <c r="A49" s="9" t="str">
        <f t="shared" si="0"/>
        <v xml:space="preserve"> - </v>
      </c>
      <c r="C49" s="21"/>
    </row>
    <row r="50" spans="1:3" x14ac:dyDescent="0.25">
      <c r="A50" s="9" t="str">
        <f t="shared" si="0"/>
        <v xml:space="preserve"> - </v>
      </c>
      <c r="C50" s="21"/>
    </row>
    <row r="51" spans="1:3" x14ac:dyDescent="0.25">
      <c r="A51" s="9" t="str">
        <f t="shared" si="0"/>
        <v xml:space="preserve"> - </v>
      </c>
      <c r="C51" s="21"/>
    </row>
    <row r="52" spans="1:3" x14ac:dyDescent="0.25">
      <c r="A52" s="9" t="str">
        <f t="shared" si="0"/>
        <v xml:space="preserve"> - </v>
      </c>
      <c r="C52" s="21"/>
    </row>
    <row r="53" spans="1:3" x14ac:dyDescent="0.25">
      <c r="A53" s="9" t="str">
        <f t="shared" si="0"/>
        <v xml:space="preserve"> - </v>
      </c>
      <c r="C53" s="21"/>
    </row>
    <row r="54" spans="1:3" x14ac:dyDescent="0.25">
      <c r="A54" s="9" t="str">
        <f t="shared" si="0"/>
        <v xml:space="preserve"> - </v>
      </c>
      <c r="C54" s="21"/>
    </row>
    <row r="55" spans="1:3" x14ac:dyDescent="0.25">
      <c r="A55" s="9" t="str">
        <f t="shared" si="0"/>
        <v xml:space="preserve"> - </v>
      </c>
      <c r="C55" s="21"/>
    </row>
    <row r="56" spans="1:3" x14ac:dyDescent="0.25">
      <c r="A56" s="9" t="str">
        <f t="shared" si="0"/>
        <v xml:space="preserve"> - </v>
      </c>
      <c r="C56" s="21"/>
    </row>
    <row r="57" spans="1:3" x14ac:dyDescent="0.25">
      <c r="A57" s="9" t="str">
        <f t="shared" si="0"/>
        <v xml:space="preserve"> - </v>
      </c>
      <c r="C57" s="21"/>
    </row>
    <row r="58" spans="1:3" x14ac:dyDescent="0.25">
      <c r="A58" s="9" t="str">
        <f t="shared" si="0"/>
        <v xml:space="preserve"> - </v>
      </c>
      <c r="C58" s="21"/>
    </row>
    <row r="59" spans="1:3" x14ac:dyDescent="0.25">
      <c r="A59" s="9" t="str">
        <f t="shared" si="0"/>
        <v xml:space="preserve"> - </v>
      </c>
      <c r="C59" s="21"/>
    </row>
    <row r="60" spans="1:3" x14ac:dyDescent="0.25">
      <c r="A60" s="9" t="str">
        <f t="shared" si="0"/>
        <v xml:space="preserve"> - </v>
      </c>
      <c r="C60" s="21"/>
    </row>
    <row r="61" spans="1:3" x14ac:dyDescent="0.25">
      <c r="A61" s="9" t="str">
        <f t="shared" si="0"/>
        <v xml:space="preserve"> - </v>
      </c>
      <c r="C61" s="21"/>
    </row>
    <row r="62" spans="1:3" x14ac:dyDescent="0.25">
      <c r="A62" s="9" t="str">
        <f t="shared" si="0"/>
        <v xml:space="preserve"> - </v>
      </c>
      <c r="C62" s="21"/>
    </row>
    <row r="63" spans="1:3" x14ac:dyDescent="0.25">
      <c r="A63" s="9" t="str">
        <f t="shared" si="0"/>
        <v xml:space="preserve"> - </v>
      </c>
      <c r="C63" s="21"/>
    </row>
    <row r="64" spans="1:3" x14ac:dyDescent="0.25">
      <c r="A64" s="9" t="str">
        <f t="shared" si="0"/>
        <v xml:space="preserve"> - </v>
      </c>
      <c r="C64" s="21"/>
    </row>
    <row r="65" spans="1:9" x14ac:dyDescent="0.25">
      <c r="A65" s="9" t="str">
        <f t="shared" si="0"/>
        <v xml:space="preserve"> - </v>
      </c>
      <c r="C65" s="21"/>
    </row>
    <row r="66" spans="1:9" x14ac:dyDescent="0.25">
      <c r="A66" s="9" t="str">
        <f t="shared" si="0"/>
        <v xml:space="preserve"> - </v>
      </c>
      <c r="C66" s="21"/>
    </row>
    <row r="67" spans="1:9" x14ac:dyDescent="0.25">
      <c r="A67" s="9" t="str">
        <f t="shared" si="0"/>
        <v xml:space="preserve"> - </v>
      </c>
      <c r="C67" s="21"/>
    </row>
    <row r="68" spans="1:9" x14ac:dyDescent="0.25">
      <c r="A68" s="9" t="str">
        <f t="shared" ref="A68:A131" si="5">D68&amp;" - "&amp;E68</f>
        <v xml:space="preserve"> - </v>
      </c>
      <c r="C68" s="21"/>
    </row>
    <row r="69" spans="1:9" x14ac:dyDescent="0.25">
      <c r="A69" s="9" t="str">
        <f t="shared" si="5"/>
        <v xml:space="preserve"> - </v>
      </c>
      <c r="C69" s="21"/>
    </row>
    <row r="70" spans="1:9" x14ac:dyDescent="0.25">
      <c r="A70" s="9" t="str">
        <f t="shared" si="5"/>
        <v xml:space="preserve"> - </v>
      </c>
      <c r="C70" s="21"/>
    </row>
    <row r="71" spans="1:9" x14ac:dyDescent="0.25">
      <c r="A71" s="9" t="str">
        <f t="shared" si="5"/>
        <v xml:space="preserve"> - </v>
      </c>
      <c r="C71" s="21"/>
    </row>
    <row r="72" spans="1:9" x14ac:dyDescent="0.25">
      <c r="A72" s="9" t="str">
        <f t="shared" si="5"/>
        <v xml:space="preserve"> - </v>
      </c>
      <c r="C72" s="21"/>
    </row>
    <row r="73" spans="1:9" x14ac:dyDescent="0.25">
      <c r="A73" s="9" t="str">
        <f t="shared" si="5"/>
        <v xml:space="preserve"> - </v>
      </c>
      <c r="C73" s="21"/>
    </row>
    <row r="74" spans="1:9" x14ac:dyDescent="0.25">
      <c r="A74" s="9" t="str">
        <f t="shared" si="5"/>
        <v xml:space="preserve"> - </v>
      </c>
      <c r="C74" s="21"/>
    </row>
    <row r="75" spans="1:9" x14ac:dyDescent="0.25">
      <c r="A75" s="9" t="str">
        <f t="shared" si="5"/>
        <v xml:space="preserve"> - </v>
      </c>
      <c r="C75" s="21"/>
    </row>
    <row r="76" spans="1:9" x14ac:dyDescent="0.25">
      <c r="A76" s="9" t="str">
        <f t="shared" si="5"/>
        <v xml:space="preserve"> - </v>
      </c>
      <c r="C76" s="21"/>
    </row>
    <row r="77" spans="1:9" x14ac:dyDescent="0.25">
      <c r="A77" s="9" t="str">
        <f t="shared" si="5"/>
        <v>COMMERCHAMP - Operación</v>
      </c>
      <c r="C77" s="21"/>
      <c r="D77" s="12" t="s">
        <v>1</v>
      </c>
      <c r="E77" s="12" t="s">
        <v>13</v>
      </c>
      <c r="F77" s="22">
        <v>3770231.9</v>
      </c>
      <c r="G77" s="22">
        <f t="shared" ref="G77:G78" si="6">F77/$E$1</f>
        <v>1593.5046069315299</v>
      </c>
      <c r="H77" s="22">
        <f t="shared" ref="H77:H78" si="7">F77-I77*$E$1</f>
        <v>3770231.9</v>
      </c>
      <c r="I77" s="22">
        <v>0</v>
      </c>
    </row>
    <row r="78" spans="1:9" x14ac:dyDescent="0.25">
      <c r="A78" s="9" t="str">
        <f t="shared" si="5"/>
        <v>COMMERCHAMP - OCyG</v>
      </c>
      <c r="C78" s="21"/>
      <c r="D78" s="12" t="s">
        <v>1</v>
      </c>
      <c r="E78" s="12" t="s">
        <v>14</v>
      </c>
      <c r="F78" s="22">
        <v>14924706838.540001</v>
      </c>
      <c r="G78" s="22">
        <f t="shared" si="6"/>
        <v>6307991.0560185974</v>
      </c>
      <c r="H78" s="22">
        <f t="shared" si="7"/>
        <v>14924706838.540001</v>
      </c>
      <c r="I78" s="22">
        <v>0</v>
      </c>
    </row>
    <row r="79" spans="1:9" x14ac:dyDescent="0.25">
      <c r="A79" s="9" t="str">
        <f t="shared" si="5"/>
        <v xml:space="preserve"> - </v>
      </c>
      <c r="C79" s="21"/>
    </row>
    <row r="80" spans="1:9" x14ac:dyDescent="0.25">
      <c r="A80" s="9" t="str">
        <f t="shared" si="5"/>
        <v xml:space="preserve"> - </v>
      </c>
      <c r="C80" s="21"/>
    </row>
    <row r="81" spans="1:9" x14ac:dyDescent="0.25">
      <c r="A81" s="9" t="str">
        <f t="shared" si="5"/>
        <v xml:space="preserve"> - </v>
      </c>
      <c r="C81" s="21"/>
    </row>
    <row r="82" spans="1:9" x14ac:dyDescent="0.25">
      <c r="A82" s="9" t="str">
        <f t="shared" si="5"/>
        <v xml:space="preserve"> - </v>
      </c>
      <c r="C82" s="21"/>
    </row>
    <row r="83" spans="1:9" x14ac:dyDescent="0.25">
      <c r="A83" s="9" t="str">
        <f t="shared" si="5"/>
        <v xml:space="preserve"> - </v>
      </c>
      <c r="C83" s="21"/>
    </row>
    <row r="84" spans="1:9" x14ac:dyDescent="0.25">
      <c r="A84" s="9" t="str">
        <f t="shared" si="5"/>
        <v xml:space="preserve"> - </v>
      </c>
      <c r="C84" s="21"/>
    </row>
    <row r="85" spans="1:9" x14ac:dyDescent="0.25">
      <c r="A85" s="9" t="str">
        <f t="shared" si="5"/>
        <v xml:space="preserve"> - </v>
      </c>
      <c r="C85" s="21"/>
    </row>
    <row r="86" spans="1:9" x14ac:dyDescent="0.25">
      <c r="A86" s="9" t="str">
        <f t="shared" si="5"/>
        <v xml:space="preserve"> - </v>
      </c>
      <c r="C86" s="21"/>
    </row>
    <row r="87" spans="1:9" x14ac:dyDescent="0.25">
      <c r="A87" s="9" t="str">
        <f t="shared" si="5"/>
        <v xml:space="preserve"> - </v>
      </c>
      <c r="C87" s="21"/>
    </row>
    <row r="88" spans="1:9" x14ac:dyDescent="0.25">
      <c r="A88" s="9" t="str">
        <f t="shared" si="5"/>
        <v xml:space="preserve"> - </v>
      </c>
      <c r="C88" s="21"/>
    </row>
    <row r="89" spans="1:9" x14ac:dyDescent="0.25">
      <c r="A89" s="9" t="str">
        <f t="shared" si="5"/>
        <v xml:space="preserve"> - </v>
      </c>
      <c r="C89" s="21"/>
    </row>
    <row r="90" spans="1:9" x14ac:dyDescent="0.25">
      <c r="A90" s="9" t="str">
        <f t="shared" si="5"/>
        <v xml:space="preserve"> - </v>
      </c>
      <c r="C90" s="21"/>
    </row>
    <row r="91" spans="1:9" x14ac:dyDescent="0.25">
      <c r="A91" s="9" t="str">
        <f t="shared" si="5"/>
        <v xml:space="preserve"> - </v>
      </c>
      <c r="C91" s="21"/>
    </row>
    <row r="92" spans="1:9" x14ac:dyDescent="0.25">
      <c r="A92" s="9" t="str">
        <f t="shared" si="5"/>
        <v xml:space="preserve"> - </v>
      </c>
      <c r="C92" s="21"/>
    </row>
    <row r="93" spans="1:9" x14ac:dyDescent="0.25">
      <c r="A93" s="9" t="str">
        <f t="shared" si="5"/>
        <v>COMERCIO Y SUMINISTRO - Operación</v>
      </c>
      <c r="C93" s="21"/>
      <c r="D93" s="12" t="s">
        <v>2</v>
      </c>
      <c r="E93" s="12" t="s">
        <v>13</v>
      </c>
      <c r="F93" s="24">
        <f>H93+I93*$E$1</f>
        <v>301823447992.13</v>
      </c>
      <c r="G93" s="22">
        <f>H93/$E$1+I93</f>
        <v>127566968.72025782</v>
      </c>
      <c r="H93" s="22">
        <v>104708161649.61</v>
      </c>
      <c r="I93" s="22">
        <v>83311617.219999999</v>
      </c>
    </row>
    <row r="94" spans="1:9" x14ac:dyDescent="0.25">
      <c r="A94" s="9" t="str">
        <f t="shared" si="5"/>
        <v>COMERCIO Y SUMINISTRO - OCyG</v>
      </c>
      <c r="C94" s="21"/>
      <c r="D94" s="12" t="s">
        <v>2</v>
      </c>
      <c r="E94" s="12" t="s">
        <v>14</v>
      </c>
      <c r="F94" s="24">
        <f>H94+I94*$E$1</f>
        <v>70384697053156.781</v>
      </c>
      <c r="G94" s="22">
        <f>H94/$E$1+I94</f>
        <v>29748392668.282661</v>
      </c>
      <c r="H94" s="22">
        <v>57938254691.519997</v>
      </c>
      <c r="I94" s="22">
        <v>29723904817.610001</v>
      </c>
    </row>
    <row r="95" spans="1:9" x14ac:dyDescent="0.25">
      <c r="A95" s="9" t="str">
        <f t="shared" si="5"/>
        <v xml:space="preserve"> - </v>
      </c>
      <c r="C95" s="21"/>
    </row>
    <row r="96" spans="1:9" x14ac:dyDescent="0.25">
      <c r="A96" s="9" t="str">
        <f t="shared" si="5"/>
        <v xml:space="preserve"> - </v>
      </c>
      <c r="C96" s="21"/>
    </row>
    <row r="97" spans="1:3" x14ac:dyDescent="0.25">
      <c r="A97" s="9" t="str">
        <f t="shared" si="5"/>
        <v xml:space="preserve"> - </v>
      </c>
      <c r="C97" s="21"/>
    </row>
    <row r="98" spans="1:3" x14ac:dyDescent="0.25">
      <c r="A98" s="9" t="str">
        <f t="shared" si="5"/>
        <v xml:space="preserve"> - </v>
      </c>
      <c r="C98" s="21"/>
    </row>
    <row r="99" spans="1:3" x14ac:dyDescent="0.25">
      <c r="A99" s="9" t="str">
        <f t="shared" si="5"/>
        <v xml:space="preserve"> - </v>
      </c>
      <c r="C99" s="21"/>
    </row>
    <row r="100" spans="1:3" x14ac:dyDescent="0.25">
      <c r="A100" s="9" t="str">
        <f t="shared" si="5"/>
        <v xml:space="preserve"> - </v>
      </c>
      <c r="C100" s="21"/>
    </row>
    <row r="101" spans="1:3" x14ac:dyDescent="0.25">
      <c r="A101" s="9" t="str">
        <f t="shared" si="5"/>
        <v xml:space="preserve"> - </v>
      </c>
      <c r="C101" s="21"/>
    </row>
    <row r="102" spans="1:3" x14ac:dyDescent="0.25">
      <c r="A102" s="9" t="str">
        <f t="shared" si="5"/>
        <v xml:space="preserve"> - </v>
      </c>
      <c r="C102" s="21"/>
    </row>
    <row r="103" spans="1:3" x14ac:dyDescent="0.25">
      <c r="A103" s="9" t="str">
        <f t="shared" si="5"/>
        <v xml:space="preserve"> - </v>
      </c>
      <c r="C103" s="21"/>
    </row>
    <row r="104" spans="1:3" x14ac:dyDescent="0.25">
      <c r="A104" s="9" t="str">
        <f t="shared" si="5"/>
        <v xml:space="preserve"> - </v>
      </c>
      <c r="C104" s="21"/>
    </row>
    <row r="105" spans="1:3" x14ac:dyDescent="0.25">
      <c r="A105" s="9" t="str">
        <f t="shared" si="5"/>
        <v xml:space="preserve"> - </v>
      </c>
      <c r="C105" s="21"/>
    </row>
    <row r="106" spans="1:3" x14ac:dyDescent="0.25">
      <c r="A106" s="9" t="str">
        <f t="shared" si="5"/>
        <v xml:space="preserve"> - </v>
      </c>
      <c r="C106" s="21"/>
    </row>
    <row r="107" spans="1:3" x14ac:dyDescent="0.25">
      <c r="A107" s="9" t="str">
        <f t="shared" si="5"/>
        <v xml:space="preserve"> - </v>
      </c>
      <c r="C107" s="21"/>
    </row>
    <row r="108" spans="1:3" x14ac:dyDescent="0.25">
      <c r="A108" s="9" t="str">
        <f t="shared" si="5"/>
        <v xml:space="preserve"> - </v>
      </c>
      <c r="C108" s="21"/>
    </row>
    <row r="109" spans="1:3" x14ac:dyDescent="0.25">
      <c r="A109" s="9" t="str">
        <f t="shared" si="5"/>
        <v xml:space="preserve"> - </v>
      </c>
      <c r="C109" s="21"/>
    </row>
    <row r="110" spans="1:3" x14ac:dyDescent="0.25">
      <c r="A110" s="9" t="str">
        <f t="shared" si="5"/>
        <v xml:space="preserve"> - </v>
      </c>
      <c r="C110" s="21"/>
    </row>
    <row r="111" spans="1:3" x14ac:dyDescent="0.25">
      <c r="A111" s="9" t="str">
        <f t="shared" si="5"/>
        <v xml:space="preserve"> - </v>
      </c>
      <c r="C111" s="21"/>
    </row>
    <row r="112" spans="1:3" x14ac:dyDescent="0.25">
      <c r="A112" s="9" t="str">
        <f t="shared" si="5"/>
        <v xml:space="preserve"> - </v>
      </c>
      <c r="C112" s="21"/>
    </row>
    <row r="113" spans="1:9" x14ac:dyDescent="0.25">
      <c r="A113" s="9" t="str">
        <f t="shared" si="5"/>
        <v xml:space="preserve"> - </v>
      </c>
      <c r="C113" s="21"/>
    </row>
    <row r="114" spans="1:9" x14ac:dyDescent="0.25">
      <c r="A114" s="9" t="str">
        <f t="shared" si="5"/>
        <v xml:space="preserve"> - </v>
      </c>
      <c r="C114" s="21"/>
    </row>
    <row r="115" spans="1:9" x14ac:dyDescent="0.25">
      <c r="A115" s="9" t="str">
        <f t="shared" si="5"/>
        <v xml:space="preserve"> - </v>
      </c>
      <c r="C115" s="21"/>
    </row>
    <row r="116" spans="1:9" x14ac:dyDescent="0.25">
      <c r="A116" s="9" t="str">
        <f t="shared" si="5"/>
        <v xml:space="preserve"> - </v>
      </c>
      <c r="C116" s="21"/>
    </row>
    <row r="117" spans="1:9" x14ac:dyDescent="0.25">
      <c r="A117" s="9" t="str">
        <f t="shared" si="5"/>
        <v xml:space="preserve"> - </v>
      </c>
      <c r="C117" s="21"/>
    </row>
    <row r="118" spans="1:9" x14ac:dyDescent="0.25">
      <c r="A118" s="9" t="str">
        <f t="shared" si="5"/>
        <v xml:space="preserve"> - </v>
      </c>
      <c r="C118" s="21"/>
    </row>
    <row r="119" spans="1:9" x14ac:dyDescent="0.25">
      <c r="A119" s="9" t="str">
        <f t="shared" si="5"/>
        <v xml:space="preserve"> - </v>
      </c>
      <c r="C119" s="21"/>
    </row>
    <row r="120" spans="1:9" x14ac:dyDescent="0.25">
      <c r="A120" s="9" t="str">
        <f t="shared" si="5"/>
        <v>MERCADO NACIONAL - Operación</v>
      </c>
      <c r="B120" s="21" t="s">
        <v>46</v>
      </c>
      <c r="C120" s="21"/>
      <c r="D120" s="12" t="s">
        <v>11</v>
      </c>
      <c r="E120" s="12" t="s">
        <v>13</v>
      </c>
      <c r="F120" s="24">
        <f>H120+I120*$E$1</f>
        <v>101279010569.11</v>
      </c>
      <c r="G120" s="22">
        <f>H120/$E$1+I120</f>
        <v>42806006.157696538</v>
      </c>
      <c r="H120" s="22">
        <v>34105644829.630001</v>
      </c>
      <c r="I120" s="22">
        <v>28391109.780000001</v>
      </c>
    </row>
    <row r="121" spans="1:9" x14ac:dyDescent="0.25">
      <c r="A121" s="9" t="str">
        <f t="shared" si="5"/>
        <v>MERCADO NACIONAL - OCyG</v>
      </c>
      <c r="B121" s="21"/>
      <c r="C121" s="21"/>
      <c r="D121" s="12" t="s">
        <v>11</v>
      </c>
      <c r="E121" s="12" t="s">
        <v>14</v>
      </c>
      <c r="F121" s="24">
        <f>H121+I121*$E$1</f>
        <v>157918644920.98999</v>
      </c>
      <c r="G121" s="22">
        <f>H121/$E$1+I121</f>
        <v>66744989.400249362</v>
      </c>
      <c r="H121" s="22">
        <v>11396337611.43</v>
      </c>
      <c r="I121" s="22">
        <v>61928278.659999996</v>
      </c>
    </row>
    <row r="122" spans="1:9" x14ac:dyDescent="0.25">
      <c r="A122" s="9" t="str">
        <f t="shared" si="5"/>
        <v>MERCADO NACIONAL - Inversión</v>
      </c>
      <c r="B122" s="21"/>
      <c r="C122" s="21"/>
      <c r="D122" s="12" t="s">
        <v>11</v>
      </c>
      <c r="E122" s="12" t="s">
        <v>15</v>
      </c>
      <c r="F122" s="22">
        <v>38646676061.510002</v>
      </c>
      <c r="G122" s="22">
        <f t="shared" ref="G122" si="8">F122/$E$1</f>
        <v>16334182.61264159</v>
      </c>
      <c r="H122" s="22">
        <f t="shared" ref="H122" si="9">F122-I122*$E$1</f>
        <v>38646676061.510002</v>
      </c>
      <c r="I122" s="22">
        <v>0</v>
      </c>
    </row>
    <row r="123" spans="1:9" x14ac:dyDescent="0.25">
      <c r="A123" s="9" t="str">
        <f t="shared" si="5"/>
        <v xml:space="preserve"> - </v>
      </c>
      <c r="B123" s="21"/>
      <c r="C123" s="21"/>
    </row>
    <row r="124" spans="1:9" x14ac:dyDescent="0.25">
      <c r="A124" s="9" t="str">
        <f t="shared" si="5"/>
        <v xml:space="preserve"> - </v>
      </c>
      <c r="B124" s="21"/>
      <c r="C124" s="21"/>
    </row>
    <row r="125" spans="1:9" x14ac:dyDescent="0.25">
      <c r="A125" s="9" t="str">
        <f t="shared" si="5"/>
        <v xml:space="preserve"> - </v>
      </c>
      <c r="B125" s="21"/>
      <c r="C125" s="21"/>
    </row>
    <row r="126" spans="1:9" x14ac:dyDescent="0.25">
      <c r="A126" s="9" t="str">
        <f t="shared" si="5"/>
        <v xml:space="preserve"> - </v>
      </c>
      <c r="B126" s="21"/>
      <c r="C126" s="21"/>
    </row>
    <row r="127" spans="1:9" x14ac:dyDescent="0.25">
      <c r="A127" s="9" t="str">
        <f t="shared" si="5"/>
        <v xml:space="preserve"> - </v>
      </c>
      <c r="B127" s="21"/>
      <c r="C127" s="21"/>
    </row>
    <row r="128" spans="1:9" x14ac:dyDescent="0.25">
      <c r="A128" s="9" t="str">
        <f t="shared" si="5"/>
        <v xml:space="preserve"> - </v>
      </c>
      <c r="B128" s="21"/>
      <c r="C128" s="21"/>
    </row>
    <row r="129" spans="1:3" x14ac:dyDescent="0.25">
      <c r="A129" s="9" t="str">
        <f t="shared" si="5"/>
        <v xml:space="preserve"> - </v>
      </c>
      <c r="B129" s="21"/>
      <c r="C129" s="21"/>
    </row>
    <row r="130" spans="1:3" x14ac:dyDescent="0.25">
      <c r="A130" s="9" t="str">
        <f t="shared" si="5"/>
        <v xml:space="preserve"> - </v>
      </c>
      <c r="B130" s="21"/>
      <c r="C130" s="21"/>
    </row>
    <row r="131" spans="1:3" x14ac:dyDescent="0.25">
      <c r="A131" s="9" t="str">
        <f t="shared" si="5"/>
        <v xml:space="preserve"> - </v>
      </c>
      <c r="B131" s="21"/>
      <c r="C131" s="21"/>
    </row>
    <row r="132" spans="1:3" x14ac:dyDescent="0.25">
      <c r="A132" s="9" t="str">
        <f t="shared" ref="A132:A206" si="10">D132&amp;" - "&amp;E132</f>
        <v xml:space="preserve"> - </v>
      </c>
      <c r="B132" s="21"/>
      <c r="C132" s="21"/>
    </row>
    <row r="133" spans="1:3" x14ac:dyDescent="0.25">
      <c r="A133" s="9" t="str">
        <f t="shared" si="10"/>
        <v xml:space="preserve"> - </v>
      </c>
      <c r="B133" s="21"/>
      <c r="C133" s="21"/>
    </row>
    <row r="134" spans="1:3" x14ac:dyDescent="0.25">
      <c r="A134" s="9" t="str">
        <f t="shared" si="10"/>
        <v xml:space="preserve"> - </v>
      </c>
      <c r="B134" s="21"/>
      <c r="C134" s="21"/>
    </row>
    <row r="135" spans="1:3" x14ac:dyDescent="0.25">
      <c r="A135" s="9" t="str">
        <f t="shared" si="10"/>
        <v xml:space="preserve"> - </v>
      </c>
      <c r="B135" s="21"/>
      <c r="C135" s="21"/>
    </row>
    <row r="136" spans="1:3" x14ac:dyDescent="0.25">
      <c r="A136" s="9" t="str">
        <f t="shared" si="10"/>
        <v xml:space="preserve"> - </v>
      </c>
      <c r="B136" s="21"/>
      <c r="C136" s="21"/>
    </row>
    <row r="137" spans="1:3" x14ac:dyDescent="0.25">
      <c r="A137" s="9" t="str">
        <f t="shared" si="10"/>
        <v xml:space="preserve"> - </v>
      </c>
      <c r="B137" s="21"/>
      <c r="C137" s="21"/>
    </row>
    <row r="138" spans="1:3" x14ac:dyDescent="0.25">
      <c r="A138" s="9" t="str">
        <f t="shared" si="10"/>
        <v xml:space="preserve"> - </v>
      </c>
      <c r="B138" s="21"/>
      <c r="C138" s="21"/>
    </row>
    <row r="139" spans="1:3" x14ac:dyDescent="0.25">
      <c r="A139" s="9" t="str">
        <f t="shared" si="10"/>
        <v xml:space="preserve"> - </v>
      </c>
      <c r="B139" s="21"/>
      <c r="C139" s="21"/>
    </row>
    <row r="140" spans="1:3" x14ac:dyDescent="0.25">
      <c r="A140" s="9" t="str">
        <f t="shared" si="10"/>
        <v xml:space="preserve"> - </v>
      </c>
      <c r="B140" s="21"/>
      <c r="C140" s="21"/>
    </row>
    <row r="141" spans="1:3" x14ac:dyDescent="0.25">
      <c r="A141" s="9" t="str">
        <f t="shared" si="10"/>
        <v xml:space="preserve"> - </v>
      </c>
      <c r="B141" s="21"/>
      <c r="C141" s="21"/>
    </row>
    <row r="142" spans="1:3" x14ac:dyDescent="0.25">
      <c r="A142" s="9" t="str">
        <f t="shared" si="10"/>
        <v xml:space="preserve"> - </v>
      </c>
      <c r="B142" s="21"/>
      <c r="C142" s="21"/>
    </row>
    <row r="143" spans="1:3" x14ac:dyDescent="0.25">
      <c r="A143" s="9" t="str">
        <f t="shared" si="10"/>
        <v xml:space="preserve"> - </v>
      </c>
      <c r="B143" s="21"/>
      <c r="C143" s="21"/>
    </row>
    <row r="144" spans="1:3" x14ac:dyDescent="0.25">
      <c r="A144" s="9" t="str">
        <f t="shared" si="10"/>
        <v xml:space="preserve"> - </v>
      </c>
      <c r="B144" s="21"/>
      <c r="C144" s="21"/>
    </row>
    <row r="145" spans="1:9" x14ac:dyDescent="0.25">
      <c r="A145" s="9" t="str">
        <f t="shared" si="10"/>
        <v xml:space="preserve"> - </v>
      </c>
      <c r="B145" s="21"/>
      <c r="C145" s="21"/>
    </row>
    <row r="146" spans="1:9" x14ac:dyDescent="0.25">
      <c r="A146" s="9" t="str">
        <f t="shared" si="10"/>
        <v xml:space="preserve"> - </v>
      </c>
      <c r="B146" s="21"/>
      <c r="C146" s="21"/>
    </row>
    <row r="147" spans="1:9" x14ac:dyDescent="0.25">
      <c r="A147" s="9" t="str">
        <f t="shared" si="10"/>
        <v xml:space="preserve"> - </v>
      </c>
      <c r="B147" s="21"/>
      <c r="C147" s="21"/>
    </row>
    <row r="148" spans="1:9" x14ac:dyDescent="0.25">
      <c r="A148" s="9" t="str">
        <f t="shared" si="10"/>
        <v xml:space="preserve"> - </v>
      </c>
      <c r="B148" s="21"/>
      <c r="C148" s="21"/>
    </row>
    <row r="149" spans="1:9" x14ac:dyDescent="0.25">
      <c r="A149" s="9" t="str">
        <f t="shared" si="10"/>
        <v xml:space="preserve"> - </v>
      </c>
      <c r="B149" s="21"/>
      <c r="C149" s="21"/>
    </row>
    <row r="150" spans="1:9" x14ac:dyDescent="0.25">
      <c r="A150" s="9" t="str">
        <f t="shared" si="10"/>
        <v xml:space="preserve"> - </v>
      </c>
      <c r="B150" s="21"/>
      <c r="C150" s="21"/>
    </row>
    <row r="151" spans="1:9" x14ac:dyDescent="0.25">
      <c r="A151" s="9" t="str">
        <f t="shared" si="10"/>
        <v xml:space="preserve"> - </v>
      </c>
      <c r="B151" s="21"/>
      <c r="C151" s="21"/>
    </row>
    <row r="152" spans="1:9" x14ac:dyDescent="0.25">
      <c r="A152" s="9" t="str">
        <f t="shared" si="10"/>
        <v xml:space="preserve"> - </v>
      </c>
      <c r="B152" s="21"/>
      <c r="C152" s="21"/>
    </row>
    <row r="153" spans="1:9" x14ac:dyDescent="0.25">
      <c r="A153" s="9" t="str">
        <f t="shared" si="10"/>
        <v xml:space="preserve"> - </v>
      </c>
      <c r="B153" s="21"/>
      <c r="C153" s="21"/>
    </row>
    <row r="154" spans="1:9" x14ac:dyDescent="0.25">
      <c r="A154" s="9" t="str">
        <f t="shared" si="10"/>
        <v xml:space="preserve"> - </v>
      </c>
      <c r="B154" s="21"/>
      <c r="C154" s="21"/>
    </row>
    <row r="155" spans="1:9" x14ac:dyDescent="0.25">
      <c r="A155" s="9" t="str">
        <f t="shared" si="10"/>
        <v xml:space="preserve"> - </v>
      </c>
      <c r="B155" s="21"/>
      <c r="C155" s="21"/>
    </row>
    <row r="156" spans="1:9" x14ac:dyDescent="0.25">
      <c r="A156" s="9" t="str">
        <f t="shared" si="10"/>
        <v>ENT - Operación</v>
      </c>
      <c r="B156" s="12" t="s">
        <v>53</v>
      </c>
      <c r="C156" s="21"/>
      <c r="D156" s="12" t="s">
        <v>3</v>
      </c>
      <c r="E156" s="12" t="s">
        <v>13</v>
      </c>
      <c r="F156" s="24">
        <f>H156+I156*$E$1</f>
        <v>24771599890.119999</v>
      </c>
      <c r="G156" s="22">
        <f>H156/$E$1+I156</f>
        <v>10469822.43876585</v>
      </c>
      <c r="H156" s="22">
        <v>2747545557.8400002</v>
      </c>
      <c r="I156" s="22">
        <v>9308560.5800000001</v>
      </c>
    </row>
    <row r="157" spans="1:9" x14ac:dyDescent="0.25">
      <c r="A157" s="9" t="str">
        <f t="shared" si="10"/>
        <v>ENT - OCyG</v>
      </c>
      <c r="C157" s="21"/>
      <c r="D157" s="12" t="s">
        <v>3</v>
      </c>
      <c r="E157" s="12" t="s">
        <v>14</v>
      </c>
      <c r="F157" s="22">
        <v>1345613551.52</v>
      </c>
      <c r="G157" s="22">
        <f t="shared" ref="G157:G158" si="11">F157/$E$1</f>
        <v>568729.31171597634</v>
      </c>
      <c r="H157" s="22">
        <f t="shared" ref="H157:H158" si="12">F157-I157*$E$1</f>
        <v>1345613551.52</v>
      </c>
      <c r="I157" s="22">
        <v>0</v>
      </c>
    </row>
    <row r="158" spans="1:9" x14ac:dyDescent="0.25">
      <c r="A158" s="9" t="str">
        <f t="shared" si="10"/>
        <v>ENT - Inversión</v>
      </c>
      <c r="C158" s="21"/>
      <c r="D158" s="12" t="s">
        <v>3</v>
      </c>
      <c r="E158" s="12" t="s">
        <v>15</v>
      </c>
      <c r="F158" s="22">
        <v>3023000000</v>
      </c>
      <c r="G158" s="22">
        <f t="shared" si="11"/>
        <v>1277683.8546069316</v>
      </c>
      <c r="H158" s="22">
        <f t="shared" si="12"/>
        <v>3023000000</v>
      </c>
      <c r="I158" s="22">
        <v>0</v>
      </c>
    </row>
    <row r="159" spans="1:9" x14ac:dyDescent="0.25">
      <c r="A159" s="9" t="str">
        <f t="shared" si="10"/>
        <v xml:space="preserve"> - </v>
      </c>
      <c r="C159" s="21"/>
    </row>
    <row r="160" spans="1:9" x14ac:dyDescent="0.25">
      <c r="A160" s="9" t="str">
        <f t="shared" si="10"/>
        <v xml:space="preserve"> - </v>
      </c>
      <c r="C160" s="21"/>
    </row>
    <row r="161" spans="1:3" x14ac:dyDescent="0.25">
      <c r="A161" s="9" t="str">
        <f t="shared" si="10"/>
        <v xml:space="preserve"> - </v>
      </c>
      <c r="C161" s="21"/>
    </row>
    <row r="162" spans="1:3" x14ac:dyDescent="0.25">
      <c r="A162" s="9" t="str">
        <f t="shared" si="10"/>
        <v xml:space="preserve"> - </v>
      </c>
      <c r="C162" s="21"/>
    </row>
    <row r="163" spans="1:3" x14ac:dyDescent="0.25">
      <c r="A163" s="9" t="str">
        <f t="shared" si="10"/>
        <v xml:space="preserve"> - </v>
      </c>
      <c r="C163" s="21"/>
    </row>
    <row r="164" spans="1:3" x14ac:dyDescent="0.25">
      <c r="A164" s="9" t="str">
        <f t="shared" si="10"/>
        <v xml:space="preserve"> - </v>
      </c>
      <c r="C164" s="21"/>
    </row>
    <row r="165" spans="1:3" x14ac:dyDescent="0.25">
      <c r="A165" s="9" t="str">
        <f t="shared" si="10"/>
        <v xml:space="preserve"> - </v>
      </c>
      <c r="C165" s="21"/>
    </row>
    <row r="166" spans="1:3" x14ac:dyDescent="0.25">
      <c r="A166" s="9" t="str">
        <f t="shared" si="10"/>
        <v xml:space="preserve"> - </v>
      </c>
      <c r="C166" s="21"/>
    </row>
    <row r="167" spans="1:3" x14ac:dyDescent="0.25">
      <c r="A167" s="9" t="str">
        <f t="shared" si="10"/>
        <v xml:space="preserve"> - </v>
      </c>
      <c r="C167" s="21"/>
    </row>
    <row r="168" spans="1:3" x14ac:dyDescent="0.25">
      <c r="A168" s="9" t="str">
        <f t="shared" si="10"/>
        <v xml:space="preserve"> - </v>
      </c>
      <c r="C168" s="21"/>
    </row>
    <row r="169" spans="1:3" x14ac:dyDescent="0.25">
      <c r="A169" s="9" t="str">
        <f t="shared" si="10"/>
        <v xml:space="preserve"> - </v>
      </c>
      <c r="C169" s="21"/>
    </row>
    <row r="170" spans="1:3" x14ac:dyDescent="0.25">
      <c r="A170" s="9" t="str">
        <f t="shared" si="10"/>
        <v xml:space="preserve"> - </v>
      </c>
      <c r="C170" s="21"/>
    </row>
    <row r="171" spans="1:3" x14ac:dyDescent="0.25">
      <c r="A171" s="9" t="str">
        <f t="shared" si="10"/>
        <v xml:space="preserve"> - </v>
      </c>
      <c r="C171" s="21"/>
    </row>
    <row r="172" spans="1:3" x14ac:dyDescent="0.25">
      <c r="A172" s="9" t="str">
        <f t="shared" si="10"/>
        <v xml:space="preserve"> - </v>
      </c>
      <c r="C172" s="21"/>
    </row>
    <row r="173" spans="1:3" x14ac:dyDescent="0.25">
      <c r="A173" s="9" t="str">
        <f t="shared" si="10"/>
        <v xml:space="preserve"> - </v>
      </c>
      <c r="C173" s="21"/>
    </row>
    <row r="174" spans="1:3" x14ac:dyDescent="0.25">
      <c r="A174" s="9" t="str">
        <f t="shared" si="10"/>
        <v xml:space="preserve"> - </v>
      </c>
      <c r="C174" s="21"/>
    </row>
    <row r="175" spans="1:3" x14ac:dyDescent="0.25">
      <c r="A175" s="9" t="str">
        <f t="shared" si="10"/>
        <v xml:space="preserve"> - </v>
      </c>
      <c r="C175" s="21"/>
    </row>
    <row r="176" spans="1:3" x14ac:dyDescent="0.25">
      <c r="A176" s="9" t="str">
        <f t="shared" si="10"/>
        <v xml:space="preserve"> - </v>
      </c>
      <c r="C176" s="21"/>
    </row>
    <row r="177" spans="1:9" x14ac:dyDescent="0.25">
      <c r="A177" s="9" t="str">
        <f t="shared" si="10"/>
        <v xml:space="preserve"> - </v>
      </c>
      <c r="C177" s="21"/>
    </row>
    <row r="178" spans="1:9" x14ac:dyDescent="0.25">
      <c r="A178" s="9" t="str">
        <f t="shared" si="10"/>
        <v xml:space="preserve"> - </v>
      </c>
      <c r="C178" s="21"/>
    </row>
    <row r="179" spans="1:9" x14ac:dyDescent="0.25">
      <c r="C179" s="21"/>
    </row>
    <row r="190" spans="1:9" x14ac:dyDescent="0.25">
      <c r="A190" s="9" t="str">
        <f t="shared" si="10"/>
        <v xml:space="preserve"> - </v>
      </c>
    </row>
    <row r="191" spans="1:9" x14ac:dyDescent="0.25">
      <c r="A191" s="9" t="str">
        <f t="shared" si="10"/>
        <v>PDVSA NAVAL - Operación</v>
      </c>
      <c r="D191" s="12" t="s">
        <v>52</v>
      </c>
      <c r="E191" s="12" t="s">
        <v>13</v>
      </c>
      <c r="F191" s="24">
        <f>H191+I191*$E$1</f>
        <v>16447256567.689999</v>
      </c>
      <c r="G191" s="22">
        <f>H191/$E$1+I191</f>
        <v>6951503.1985164825</v>
      </c>
      <c r="H191" s="22">
        <v>14662720137.65</v>
      </c>
      <c r="I191" s="22">
        <v>754241.94</v>
      </c>
    </row>
    <row r="192" spans="1:9" x14ac:dyDescent="0.25">
      <c r="A192" s="9" t="str">
        <f t="shared" si="10"/>
        <v>PDVSA NAVAL - OCyG</v>
      </c>
      <c r="D192" s="12" t="s">
        <v>52</v>
      </c>
      <c r="E192" s="12" t="s">
        <v>14</v>
      </c>
      <c r="F192" s="22">
        <v>0</v>
      </c>
      <c r="G192" s="22">
        <f t="shared" ref="G192:G193" si="13">F192/$E$1</f>
        <v>0</v>
      </c>
      <c r="H192" s="22">
        <f t="shared" ref="H192:H193" si="14">F192-I192*$E$1</f>
        <v>0</v>
      </c>
      <c r="I192" s="22">
        <v>0</v>
      </c>
    </row>
    <row r="193" spans="1:9" x14ac:dyDescent="0.25">
      <c r="A193" s="9" t="str">
        <f t="shared" si="10"/>
        <v>PDVSA NAVAL - Inversión</v>
      </c>
      <c r="D193" s="12" t="s">
        <v>52</v>
      </c>
      <c r="E193" s="12" t="s">
        <v>15</v>
      </c>
      <c r="F193" s="22">
        <v>28330460800</v>
      </c>
      <c r="G193" s="22">
        <f t="shared" si="13"/>
        <v>11973990.194420964</v>
      </c>
      <c r="H193" s="22">
        <f t="shared" si="14"/>
        <v>28330460800</v>
      </c>
      <c r="I193" s="22">
        <v>0</v>
      </c>
    </row>
    <row r="194" spans="1:9" x14ac:dyDescent="0.25">
      <c r="A194" s="9" t="str">
        <f t="shared" si="10"/>
        <v xml:space="preserve"> - </v>
      </c>
    </row>
    <row r="195" spans="1:9" x14ac:dyDescent="0.25">
      <c r="A195" s="9" t="str">
        <f t="shared" si="10"/>
        <v xml:space="preserve"> - </v>
      </c>
    </row>
    <row r="196" spans="1:9" x14ac:dyDescent="0.25">
      <c r="A196" s="9" t="str">
        <f t="shared" si="10"/>
        <v xml:space="preserve"> - </v>
      </c>
    </row>
    <row r="197" spans="1:9" x14ac:dyDescent="0.25">
      <c r="A197" s="9" t="str">
        <f t="shared" si="10"/>
        <v xml:space="preserve"> - </v>
      </c>
    </row>
    <row r="198" spans="1:9" x14ac:dyDescent="0.25">
      <c r="A198" s="9" t="str">
        <f t="shared" si="10"/>
        <v xml:space="preserve"> - </v>
      </c>
    </row>
    <row r="199" spans="1:9" x14ac:dyDescent="0.25">
      <c r="A199" s="9" t="str">
        <f t="shared" si="10"/>
        <v xml:space="preserve"> - </v>
      </c>
    </row>
    <row r="200" spans="1:9" x14ac:dyDescent="0.25">
      <c r="A200" s="9" t="str">
        <f t="shared" si="10"/>
        <v xml:space="preserve"> - </v>
      </c>
    </row>
    <row r="201" spans="1:9" x14ac:dyDescent="0.25">
      <c r="A201" s="9" t="str">
        <f t="shared" si="10"/>
        <v xml:space="preserve"> - </v>
      </c>
    </row>
    <row r="202" spans="1:9" x14ac:dyDescent="0.25">
      <c r="A202" s="9" t="str">
        <f t="shared" si="10"/>
        <v xml:space="preserve"> - </v>
      </c>
    </row>
    <row r="203" spans="1:9" x14ac:dyDescent="0.25">
      <c r="A203" s="9" t="str">
        <f t="shared" si="10"/>
        <v xml:space="preserve"> - </v>
      </c>
    </row>
    <row r="204" spans="1:9" x14ac:dyDescent="0.25">
      <c r="A204" s="9" t="str">
        <f t="shared" si="10"/>
        <v xml:space="preserve"> - </v>
      </c>
    </row>
    <row r="205" spans="1:9" x14ac:dyDescent="0.25">
      <c r="A205" s="9" t="str">
        <f t="shared" si="10"/>
        <v xml:space="preserve"> - </v>
      </c>
    </row>
    <row r="206" spans="1:9" x14ac:dyDescent="0.25">
      <c r="A206" s="9" t="str">
        <f t="shared" si="10"/>
        <v xml:space="preserve"> - </v>
      </c>
    </row>
    <row r="207" spans="1:9" x14ac:dyDescent="0.25">
      <c r="A207" s="9" t="str">
        <f t="shared" ref="A207:A211" si="15">D207&amp;" - "&amp;E207</f>
        <v xml:space="preserve"> - </v>
      </c>
    </row>
    <row r="208" spans="1:9" x14ac:dyDescent="0.25">
      <c r="A208" s="9" t="str">
        <f t="shared" si="15"/>
        <v xml:space="preserve"> - </v>
      </c>
    </row>
    <row r="209" spans="1:1" x14ac:dyDescent="0.25">
      <c r="A209" s="9" t="str">
        <f t="shared" si="15"/>
        <v xml:space="preserve"> - </v>
      </c>
    </row>
    <row r="210" spans="1:1" x14ac:dyDescent="0.25">
      <c r="A210" s="9" t="str">
        <f t="shared" si="15"/>
        <v xml:space="preserve"> - </v>
      </c>
    </row>
    <row r="211" spans="1:1" x14ac:dyDescent="0.25">
      <c r="A211" s="9" t="str">
        <f t="shared" si="15"/>
        <v xml:space="preserve"> - </v>
      </c>
    </row>
    <row r="225" spans="2:9" x14ac:dyDescent="0.25">
      <c r="B225" s="12" t="s">
        <v>46</v>
      </c>
      <c r="D225" s="12" t="s">
        <v>59</v>
      </c>
      <c r="E225" s="12" t="s">
        <v>13</v>
      </c>
      <c r="G225" s="22">
        <f t="shared" ref="G225:G226" si="16">F225/$E$1</f>
        <v>0</v>
      </c>
      <c r="H225" s="22">
        <f t="shared" ref="H225:H226" si="17">F225-I225*$E$1</f>
        <v>0</v>
      </c>
      <c r="I225" s="22">
        <v>0</v>
      </c>
    </row>
    <row r="226" spans="2:9" x14ac:dyDescent="0.25">
      <c r="E226" s="12" t="s">
        <v>15</v>
      </c>
      <c r="G226" s="22">
        <f t="shared" si="16"/>
        <v>0</v>
      </c>
      <c r="H226" s="22">
        <f t="shared" si="17"/>
        <v>0</v>
      </c>
      <c r="I226" s="22">
        <v>0</v>
      </c>
    </row>
  </sheetData>
  <dataValidations count="2">
    <dataValidation type="list" allowBlank="1" showInputMessage="1" showErrorMessage="1" sqref="D3:D1048576">
      <formula1>NegocioFilial</formula1>
    </dataValidation>
    <dataValidation type="list" allowBlank="1" showInputMessage="1" showErrorMessage="1" sqref="E3:E1048576">
      <formula1>Presupuesto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M226"/>
  <sheetViews>
    <sheetView workbookViewId="0">
      <pane xSplit="4" ySplit="2" topLeftCell="E203" activePane="bottomRight" state="frozen"/>
      <selection pane="topRight" activeCell="D1" sqref="D1"/>
      <selection pane="bottomLeft" activeCell="A2" sqref="A2"/>
      <selection pane="bottomRight" activeCell="F239" sqref="F239"/>
    </sheetView>
  </sheetViews>
  <sheetFormatPr baseColWidth="10" defaultColWidth="9.140625" defaultRowHeight="11.25" x14ac:dyDescent="0.25"/>
  <cols>
    <col min="1" max="1" width="16.85546875" style="9" hidden="1" customWidth="1"/>
    <col min="2" max="2" width="55.5703125" style="12" customWidth="1"/>
    <col min="3" max="3" width="1.7109375" style="12" customWidth="1"/>
    <col min="4" max="4" width="17.5703125" style="12" bestFit="1" customWidth="1"/>
    <col min="5" max="5" width="16.140625" style="12" customWidth="1"/>
    <col min="6" max="6" width="16.7109375" style="17" bestFit="1" customWidth="1"/>
    <col min="7" max="7" width="20.5703125" style="17" bestFit="1" customWidth="1"/>
    <col min="8" max="8" width="16.7109375" style="17" bestFit="1" customWidth="1"/>
    <col min="9" max="9" width="15.7109375" style="17" customWidth="1"/>
    <col min="10" max="12" width="9.140625" style="12"/>
    <col min="13" max="13" width="19" style="17" bestFit="1" customWidth="1"/>
    <col min="14" max="16384" width="9.140625" style="12"/>
  </cols>
  <sheetData>
    <row r="1" spans="1:9" x14ac:dyDescent="0.25">
      <c r="D1" s="5" t="s">
        <v>47</v>
      </c>
      <c r="E1" s="22">
        <v>60</v>
      </c>
    </row>
    <row r="2" spans="1:9" x14ac:dyDescent="0.25">
      <c r="A2" s="10" t="s">
        <v>27</v>
      </c>
      <c r="B2" s="2" t="s">
        <v>4</v>
      </c>
      <c r="D2" s="2" t="s">
        <v>9</v>
      </c>
      <c r="E2" s="2" t="s">
        <v>12</v>
      </c>
      <c r="F2" s="4" t="s">
        <v>48</v>
      </c>
      <c r="G2" s="4" t="s">
        <v>6</v>
      </c>
      <c r="H2" s="4" t="s">
        <v>49</v>
      </c>
      <c r="I2" s="4" t="s">
        <v>8</v>
      </c>
    </row>
    <row r="3" spans="1:9" x14ac:dyDescent="0.25">
      <c r="A3" s="9" t="str">
        <f>D3&amp;" - "&amp;E3</f>
        <v>PETROMAR - Compras</v>
      </c>
      <c r="C3" s="21"/>
      <c r="D3" s="12" t="s">
        <v>10</v>
      </c>
      <c r="E3" s="12" t="s">
        <v>17</v>
      </c>
      <c r="F3" s="17">
        <f>I3*E1</f>
        <v>10359942857.4</v>
      </c>
      <c r="G3" s="17">
        <f>F3/$E$1</f>
        <v>172665714.28999999</v>
      </c>
      <c r="H3" s="17">
        <f>F3-I3*$E$1</f>
        <v>0</v>
      </c>
      <c r="I3" s="17">
        <v>172665714.28999999</v>
      </c>
    </row>
    <row r="4" spans="1:9" x14ac:dyDescent="0.25">
      <c r="A4" s="9" t="str">
        <f t="shared" ref="A4:A67" si="0">D4&amp;" - "&amp;E4</f>
        <v xml:space="preserve"> - </v>
      </c>
      <c r="C4" s="21"/>
    </row>
    <row r="5" spans="1:9" x14ac:dyDescent="0.25">
      <c r="A5" s="9" t="str">
        <f t="shared" si="0"/>
        <v xml:space="preserve"> - </v>
      </c>
      <c r="C5" s="21"/>
    </row>
    <row r="6" spans="1:9" x14ac:dyDescent="0.25">
      <c r="A6" s="9" t="str">
        <f t="shared" si="0"/>
        <v xml:space="preserve"> - </v>
      </c>
      <c r="C6" s="21"/>
    </row>
    <row r="7" spans="1:9" x14ac:dyDescent="0.25">
      <c r="A7" s="9" t="str">
        <f t="shared" si="0"/>
        <v xml:space="preserve"> - </v>
      </c>
      <c r="C7" s="21"/>
    </row>
    <row r="8" spans="1:9" x14ac:dyDescent="0.25">
      <c r="A8" s="9" t="str">
        <f t="shared" si="0"/>
        <v xml:space="preserve"> - </v>
      </c>
      <c r="C8" s="21"/>
    </row>
    <row r="9" spans="1:9" x14ac:dyDescent="0.25">
      <c r="A9" s="9" t="str">
        <f t="shared" si="0"/>
        <v xml:space="preserve"> - </v>
      </c>
      <c r="C9" s="21"/>
    </row>
    <row r="10" spans="1:9" x14ac:dyDescent="0.25">
      <c r="A10" s="9" t="str">
        <f t="shared" si="0"/>
        <v xml:space="preserve"> - </v>
      </c>
      <c r="C10" s="21"/>
    </row>
    <row r="11" spans="1:9" x14ac:dyDescent="0.25">
      <c r="A11" s="9" t="str">
        <f t="shared" si="0"/>
        <v xml:space="preserve"> - </v>
      </c>
      <c r="C11" s="21"/>
    </row>
    <row r="12" spans="1:9" x14ac:dyDescent="0.25">
      <c r="A12" s="9" t="str">
        <f t="shared" si="0"/>
        <v xml:space="preserve"> - </v>
      </c>
      <c r="C12" s="21"/>
    </row>
    <row r="13" spans="1:9" x14ac:dyDescent="0.25">
      <c r="A13" s="9" t="str">
        <f t="shared" si="0"/>
        <v xml:space="preserve"> - </v>
      </c>
      <c r="C13" s="21"/>
    </row>
    <row r="14" spans="1:9" x14ac:dyDescent="0.25">
      <c r="A14" s="9" t="str">
        <f t="shared" si="0"/>
        <v xml:space="preserve"> - </v>
      </c>
      <c r="C14" s="21"/>
    </row>
    <row r="15" spans="1:9" x14ac:dyDescent="0.25">
      <c r="A15" s="9" t="str">
        <f t="shared" si="0"/>
        <v xml:space="preserve"> - </v>
      </c>
      <c r="C15" s="21"/>
    </row>
    <row r="16" spans="1:9" x14ac:dyDescent="0.25">
      <c r="A16" s="9" t="str">
        <f t="shared" si="0"/>
        <v xml:space="preserve"> - </v>
      </c>
      <c r="C16" s="21"/>
    </row>
    <row r="17" spans="1:9" x14ac:dyDescent="0.25">
      <c r="A17" s="9" t="str">
        <f t="shared" si="0"/>
        <v>COMERCIT - Operación</v>
      </c>
      <c r="C17" s="21"/>
      <c r="D17" s="12" t="s">
        <v>18</v>
      </c>
      <c r="E17" s="12" t="s">
        <v>13</v>
      </c>
      <c r="F17" s="17">
        <v>843489874.28999996</v>
      </c>
      <c r="G17" s="17">
        <f t="shared" ref="G17:G18" si="1">F17/$E$1</f>
        <v>14058164.5715</v>
      </c>
      <c r="H17" s="17">
        <f t="shared" ref="H17:H18" si="2">F17-I17*$E$1</f>
        <v>8.9999914169311523E-2</v>
      </c>
      <c r="I17" s="17">
        <v>14058164.57</v>
      </c>
    </row>
    <row r="18" spans="1:9" x14ac:dyDescent="0.25">
      <c r="A18" s="9" t="str">
        <f t="shared" si="0"/>
        <v>COMERCIT - OCyG</v>
      </c>
      <c r="C18" s="21"/>
      <c r="D18" s="12" t="s">
        <v>18</v>
      </c>
      <c r="E18" s="12" t="s">
        <v>14</v>
      </c>
      <c r="F18" s="17">
        <v>65.69</v>
      </c>
      <c r="G18" s="17">
        <f t="shared" si="1"/>
        <v>1.0948333333333333</v>
      </c>
      <c r="H18" s="17">
        <f t="shared" si="2"/>
        <v>65.69</v>
      </c>
      <c r="I18" s="17">
        <v>0</v>
      </c>
    </row>
    <row r="19" spans="1:9" x14ac:dyDescent="0.25">
      <c r="A19" s="9" t="str">
        <f t="shared" si="0"/>
        <v xml:space="preserve"> - </v>
      </c>
      <c r="C19" s="21"/>
    </row>
    <row r="20" spans="1:9" x14ac:dyDescent="0.25">
      <c r="A20" s="9" t="str">
        <f t="shared" si="0"/>
        <v xml:space="preserve"> - </v>
      </c>
      <c r="C20" s="21"/>
    </row>
    <row r="21" spans="1:9" x14ac:dyDescent="0.25">
      <c r="A21" s="9" t="str">
        <f t="shared" si="0"/>
        <v xml:space="preserve"> - </v>
      </c>
      <c r="C21" s="21"/>
    </row>
    <row r="22" spans="1:9" x14ac:dyDescent="0.25">
      <c r="A22" s="9" t="str">
        <f t="shared" si="0"/>
        <v xml:space="preserve"> - </v>
      </c>
      <c r="C22" s="21"/>
    </row>
    <row r="23" spans="1:9" x14ac:dyDescent="0.25">
      <c r="A23" s="9" t="str">
        <f t="shared" si="0"/>
        <v xml:space="preserve"> - </v>
      </c>
      <c r="C23" s="21"/>
    </row>
    <row r="24" spans="1:9" x14ac:dyDescent="0.25">
      <c r="A24" s="9" t="str">
        <f t="shared" si="0"/>
        <v xml:space="preserve"> - </v>
      </c>
      <c r="C24" s="21"/>
    </row>
    <row r="25" spans="1:9" x14ac:dyDescent="0.25">
      <c r="A25" s="9" t="str">
        <f t="shared" si="0"/>
        <v xml:space="preserve"> - </v>
      </c>
      <c r="C25" s="21"/>
    </row>
    <row r="26" spans="1:9" x14ac:dyDescent="0.25">
      <c r="A26" s="9" t="str">
        <f t="shared" si="0"/>
        <v xml:space="preserve"> - </v>
      </c>
      <c r="C26" s="21"/>
    </row>
    <row r="27" spans="1:9" x14ac:dyDescent="0.25">
      <c r="A27" s="9" t="str">
        <f t="shared" si="0"/>
        <v xml:space="preserve"> - </v>
      </c>
      <c r="C27" s="21"/>
    </row>
    <row r="28" spans="1:9" x14ac:dyDescent="0.25">
      <c r="A28" s="9" t="str">
        <f t="shared" si="0"/>
        <v xml:space="preserve"> - </v>
      </c>
      <c r="C28" s="21"/>
    </row>
    <row r="29" spans="1:9" x14ac:dyDescent="0.25">
      <c r="A29" s="9" t="str">
        <f t="shared" si="0"/>
        <v xml:space="preserve"> - </v>
      </c>
      <c r="C29" s="21"/>
    </row>
    <row r="30" spans="1:9" x14ac:dyDescent="0.25">
      <c r="A30" s="9" t="str">
        <f t="shared" si="0"/>
        <v xml:space="preserve"> - </v>
      </c>
      <c r="C30" s="21"/>
    </row>
    <row r="31" spans="1:9" x14ac:dyDescent="0.25">
      <c r="A31" s="9" t="str">
        <f t="shared" si="0"/>
        <v xml:space="preserve"> - </v>
      </c>
      <c r="C31" s="21"/>
    </row>
    <row r="32" spans="1:9" x14ac:dyDescent="0.25">
      <c r="A32" s="9" t="str">
        <f t="shared" si="0"/>
        <v xml:space="preserve"> - </v>
      </c>
      <c r="C32" s="21"/>
    </row>
    <row r="33" spans="1:9" x14ac:dyDescent="0.25">
      <c r="A33" s="9" t="str">
        <f t="shared" si="0"/>
        <v xml:space="preserve"> - </v>
      </c>
      <c r="C33" s="21"/>
    </row>
    <row r="34" spans="1:9" x14ac:dyDescent="0.25">
      <c r="A34" s="9" t="str">
        <f t="shared" si="0"/>
        <v xml:space="preserve"> - </v>
      </c>
      <c r="C34" s="21"/>
    </row>
    <row r="35" spans="1:9" x14ac:dyDescent="0.25">
      <c r="A35" s="9" t="str">
        <f t="shared" si="0"/>
        <v xml:space="preserve"> - </v>
      </c>
      <c r="C35" s="21"/>
    </row>
    <row r="36" spans="1:9" x14ac:dyDescent="0.25">
      <c r="A36" s="9" t="str">
        <f t="shared" si="0"/>
        <v xml:space="preserve"> - </v>
      </c>
      <c r="C36" s="21"/>
    </row>
    <row r="37" spans="1:9" x14ac:dyDescent="0.25">
      <c r="A37" s="9" t="str">
        <f t="shared" si="0"/>
        <v xml:space="preserve"> - </v>
      </c>
      <c r="C37" s="21"/>
    </row>
    <row r="38" spans="1:9" x14ac:dyDescent="0.25">
      <c r="A38" s="9" t="str">
        <f t="shared" si="0"/>
        <v xml:space="preserve"> - </v>
      </c>
      <c r="C38" s="21"/>
    </row>
    <row r="39" spans="1:9" x14ac:dyDescent="0.25">
      <c r="A39" s="9" t="str">
        <f t="shared" si="0"/>
        <v xml:space="preserve"> - </v>
      </c>
      <c r="C39" s="21"/>
    </row>
    <row r="40" spans="1:9" x14ac:dyDescent="0.25">
      <c r="A40" s="9" t="str">
        <f t="shared" si="0"/>
        <v xml:space="preserve"> - </v>
      </c>
      <c r="C40" s="21"/>
    </row>
    <row r="41" spans="1:9" x14ac:dyDescent="0.25">
      <c r="A41" s="9" t="str">
        <f t="shared" si="0"/>
        <v xml:space="preserve"> - </v>
      </c>
      <c r="C41" s="21"/>
    </row>
    <row r="42" spans="1:9" x14ac:dyDescent="0.25">
      <c r="A42" s="9" t="str">
        <f t="shared" si="0"/>
        <v xml:space="preserve"> - </v>
      </c>
      <c r="C42" s="21"/>
    </row>
    <row r="43" spans="1:9" x14ac:dyDescent="0.25">
      <c r="A43" s="9" t="str">
        <f t="shared" si="0"/>
        <v xml:space="preserve"> - </v>
      </c>
      <c r="C43" s="21"/>
    </row>
    <row r="44" spans="1:9" x14ac:dyDescent="0.25">
      <c r="A44" s="9" t="str">
        <f t="shared" si="0"/>
        <v xml:space="preserve"> - </v>
      </c>
      <c r="C44" s="21"/>
    </row>
    <row r="45" spans="1:9" x14ac:dyDescent="0.25">
      <c r="A45" s="9" t="str">
        <f t="shared" si="0"/>
        <v>PDV MARINA - Operación</v>
      </c>
      <c r="C45" s="21"/>
      <c r="D45" s="12" t="s">
        <v>0</v>
      </c>
      <c r="E45" s="12" t="s">
        <v>13</v>
      </c>
      <c r="F45" s="17">
        <v>4463640578.04</v>
      </c>
      <c r="G45" s="17">
        <f t="shared" ref="G45:G47" si="3">F45/$E$1</f>
        <v>74394009.634000003</v>
      </c>
      <c r="H45" s="17">
        <f t="shared" ref="H45:H47" si="4">F45-I45*$E$1</f>
        <v>306740834.63999987</v>
      </c>
      <c r="I45" s="17">
        <v>69281662.390000001</v>
      </c>
    </row>
    <row r="46" spans="1:9" x14ac:dyDescent="0.25">
      <c r="A46" s="9" t="str">
        <f t="shared" si="0"/>
        <v>PDV MARINA - OCyG</v>
      </c>
      <c r="C46" s="21"/>
      <c r="D46" s="12" t="s">
        <v>0</v>
      </c>
      <c r="E46" s="12" t="s">
        <v>14</v>
      </c>
      <c r="F46" s="17">
        <v>306781681.63999999</v>
      </c>
      <c r="G46" s="17">
        <f t="shared" si="3"/>
        <v>5113028.0273333332</v>
      </c>
      <c r="H46" s="17">
        <f t="shared" si="4"/>
        <v>306781681.63999999</v>
      </c>
      <c r="I46" s="17">
        <v>0</v>
      </c>
    </row>
    <row r="47" spans="1:9" x14ac:dyDescent="0.25">
      <c r="A47" s="9" t="str">
        <f t="shared" si="0"/>
        <v>PDV MARINA - Inversión</v>
      </c>
      <c r="C47" s="21"/>
      <c r="D47" s="12" t="s">
        <v>0</v>
      </c>
      <c r="E47" s="12" t="s">
        <v>15</v>
      </c>
      <c r="F47" s="17">
        <v>0</v>
      </c>
      <c r="G47" s="17">
        <f t="shared" si="3"/>
        <v>0</v>
      </c>
      <c r="H47" s="17">
        <f t="shared" si="4"/>
        <v>0</v>
      </c>
      <c r="I47" s="17">
        <v>0</v>
      </c>
    </row>
    <row r="48" spans="1:9" x14ac:dyDescent="0.25">
      <c r="A48" s="9" t="str">
        <f t="shared" si="0"/>
        <v xml:space="preserve"> - </v>
      </c>
      <c r="C48" s="21"/>
    </row>
    <row r="49" spans="1:3" x14ac:dyDescent="0.25">
      <c r="A49" s="9" t="str">
        <f t="shared" si="0"/>
        <v xml:space="preserve"> - </v>
      </c>
      <c r="C49" s="21"/>
    </row>
    <row r="50" spans="1:3" x14ac:dyDescent="0.25">
      <c r="A50" s="9" t="str">
        <f t="shared" si="0"/>
        <v xml:space="preserve"> - </v>
      </c>
      <c r="C50" s="21"/>
    </row>
    <row r="51" spans="1:3" x14ac:dyDescent="0.25">
      <c r="A51" s="9" t="str">
        <f t="shared" si="0"/>
        <v xml:space="preserve"> - </v>
      </c>
      <c r="C51" s="21"/>
    </row>
    <row r="52" spans="1:3" x14ac:dyDescent="0.25">
      <c r="A52" s="9" t="str">
        <f t="shared" si="0"/>
        <v xml:space="preserve"> - </v>
      </c>
      <c r="C52" s="21"/>
    </row>
    <row r="53" spans="1:3" x14ac:dyDescent="0.25">
      <c r="A53" s="9" t="str">
        <f t="shared" si="0"/>
        <v xml:space="preserve"> - </v>
      </c>
      <c r="C53" s="21"/>
    </row>
    <row r="54" spans="1:3" x14ac:dyDescent="0.25">
      <c r="A54" s="9" t="str">
        <f t="shared" si="0"/>
        <v xml:space="preserve"> - </v>
      </c>
      <c r="C54" s="21"/>
    </row>
    <row r="55" spans="1:3" x14ac:dyDescent="0.25">
      <c r="A55" s="9" t="str">
        <f t="shared" si="0"/>
        <v xml:space="preserve"> - </v>
      </c>
      <c r="C55" s="21"/>
    </row>
    <row r="56" spans="1:3" x14ac:dyDescent="0.25">
      <c r="A56" s="9" t="str">
        <f t="shared" si="0"/>
        <v xml:space="preserve"> - </v>
      </c>
      <c r="C56" s="21"/>
    </row>
    <row r="57" spans="1:3" x14ac:dyDescent="0.25">
      <c r="A57" s="9" t="str">
        <f t="shared" si="0"/>
        <v xml:space="preserve"> - </v>
      </c>
      <c r="C57" s="21"/>
    </row>
    <row r="58" spans="1:3" x14ac:dyDescent="0.25">
      <c r="A58" s="9" t="str">
        <f t="shared" si="0"/>
        <v xml:space="preserve"> - </v>
      </c>
      <c r="C58" s="21"/>
    </row>
    <row r="59" spans="1:3" x14ac:dyDescent="0.25">
      <c r="A59" s="9" t="str">
        <f t="shared" si="0"/>
        <v xml:space="preserve"> - </v>
      </c>
      <c r="C59" s="21"/>
    </row>
    <row r="60" spans="1:3" x14ac:dyDescent="0.25">
      <c r="A60" s="9" t="str">
        <f t="shared" si="0"/>
        <v xml:space="preserve"> - </v>
      </c>
      <c r="C60" s="21"/>
    </row>
    <row r="61" spans="1:3" x14ac:dyDescent="0.25">
      <c r="A61" s="9" t="str">
        <f t="shared" si="0"/>
        <v xml:space="preserve"> - </v>
      </c>
      <c r="C61" s="21"/>
    </row>
    <row r="62" spans="1:3" x14ac:dyDescent="0.25">
      <c r="A62" s="9" t="str">
        <f t="shared" si="0"/>
        <v xml:space="preserve"> - </v>
      </c>
      <c r="C62" s="21"/>
    </row>
    <row r="63" spans="1:3" x14ac:dyDescent="0.25">
      <c r="A63" s="9" t="str">
        <f t="shared" si="0"/>
        <v xml:space="preserve"> - </v>
      </c>
      <c r="C63" s="21"/>
    </row>
    <row r="64" spans="1:3" x14ac:dyDescent="0.25">
      <c r="A64" s="9" t="str">
        <f t="shared" si="0"/>
        <v xml:space="preserve"> - </v>
      </c>
      <c r="C64" s="21"/>
    </row>
    <row r="65" spans="1:9" x14ac:dyDescent="0.25">
      <c r="A65" s="9" t="str">
        <f t="shared" si="0"/>
        <v xml:space="preserve"> - </v>
      </c>
      <c r="C65" s="21"/>
    </row>
    <row r="66" spans="1:9" x14ac:dyDescent="0.25">
      <c r="A66" s="9" t="str">
        <f t="shared" si="0"/>
        <v xml:space="preserve"> - </v>
      </c>
      <c r="C66" s="21"/>
    </row>
    <row r="67" spans="1:9" x14ac:dyDescent="0.25">
      <c r="A67" s="9" t="str">
        <f t="shared" si="0"/>
        <v xml:space="preserve"> - </v>
      </c>
      <c r="C67" s="21"/>
    </row>
    <row r="68" spans="1:9" x14ac:dyDescent="0.25">
      <c r="A68" s="9" t="str">
        <f t="shared" ref="A68:A131" si="5">D68&amp;" - "&amp;E68</f>
        <v xml:space="preserve"> - </v>
      </c>
      <c r="C68" s="21"/>
    </row>
    <row r="69" spans="1:9" x14ac:dyDescent="0.25">
      <c r="A69" s="9" t="str">
        <f t="shared" si="5"/>
        <v xml:space="preserve"> - </v>
      </c>
      <c r="C69" s="21"/>
    </row>
    <row r="70" spans="1:9" x14ac:dyDescent="0.25">
      <c r="A70" s="9" t="str">
        <f t="shared" si="5"/>
        <v xml:space="preserve"> - </v>
      </c>
      <c r="C70" s="21"/>
    </row>
    <row r="71" spans="1:9" x14ac:dyDescent="0.25">
      <c r="A71" s="9" t="str">
        <f t="shared" si="5"/>
        <v xml:space="preserve"> - </v>
      </c>
      <c r="C71" s="21"/>
    </row>
    <row r="72" spans="1:9" x14ac:dyDescent="0.25">
      <c r="A72" s="9" t="str">
        <f t="shared" si="5"/>
        <v xml:space="preserve"> - </v>
      </c>
      <c r="C72" s="21"/>
    </row>
    <row r="73" spans="1:9" x14ac:dyDescent="0.25">
      <c r="A73" s="9" t="str">
        <f t="shared" si="5"/>
        <v xml:space="preserve"> - </v>
      </c>
      <c r="C73" s="21"/>
    </row>
    <row r="74" spans="1:9" x14ac:dyDescent="0.25">
      <c r="A74" s="9" t="str">
        <f t="shared" si="5"/>
        <v xml:space="preserve"> - </v>
      </c>
      <c r="C74" s="21"/>
    </row>
    <row r="75" spans="1:9" x14ac:dyDescent="0.25">
      <c r="A75" s="9" t="str">
        <f t="shared" si="5"/>
        <v xml:space="preserve"> - </v>
      </c>
      <c r="C75" s="21"/>
    </row>
    <row r="76" spans="1:9" x14ac:dyDescent="0.25">
      <c r="A76" s="9" t="str">
        <f t="shared" si="5"/>
        <v xml:space="preserve"> - </v>
      </c>
      <c r="C76" s="21"/>
    </row>
    <row r="77" spans="1:9" x14ac:dyDescent="0.25">
      <c r="A77" s="9" t="str">
        <f t="shared" si="5"/>
        <v>COMMERCHAMP - Operación</v>
      </c>
      <c r="C77" s="21"/>
      <c r="D77" s="12" t="s">
        <v>1</v>
      </c>
      <c r="E77" s="12" t="s">
        <v>13</v>
      </c>
      <c r="F77" s="17">
        <v>27727.79</v>
      </c>
      <c r="G77" s="17">
        <f t="shared" ref="G77:G78" si="6">F77/$E$1</f>
        <v>462.12983333333335</v>
      </c>
      <c r="H77" s="17">
        <f t="shared" ref="H77:H78" si="7">F77-I77*$E$1</f>
        <v>27727.79</v>
      </c>
      <c r="I77" s="17">
        <v>0</v>
      </c>
    </row>
    <row r="78" spans="1:9" x14ac:dyDescent="0.25">
      <c r="A78" s="9" t="str">
        <f t="shared" si="5"/>
        <v>COMMERCHAMP - OCyG</v>
      </c>
      <c r="C78" s="21"/>
      <c r="D78" s="12" t="s">
        <v>1</v>
      </c>
      <c r="E78" s="12" t="s">
        <v>14</v>
      </c>
      <c r="F78" s="17">
        <v>0</v>
      </c>
      <c r="G78" s="17">
        <f t="shared" si="6"/>
        <v>0</v>
      </c>
      <c r="H78" s="17">
        <f t="shared" si="7"/>
        <v>0</v>
      </c>
      <c r="I78" s="17">
        <v>0</v>
      </c>
    </row>
    <row r="79" spans="1:9" x14ac:dyDescent="0.25">
      <c r="A79" s="9" t="str">
        <f t="shared" si="5"/>
        <v xml:space="preserve"> - </v>
      </c>
      <c r="C79" s="21"/>
    </row>
    <row r="80" spans="1:9" x14ac:dyDescent="0.25">
      <c r="A80" s="9" t="str">
        <f t="shared" si="5"/>
        <v xml:space="preserve"> - </v>
      </c>
      <c r="C80" s="21"/>
    </row>
    <row r="81" spans="1:9" x14ac:dyDescent="0.25">
      <c r="A81" s="9" t="str">
        <f t="shared" si="5"/>
        <v xml:space="preserve"> - </v>
      </c>
      <c r="C81" s="21"/>
    </row>
    <row r="82" spans="1:9" x14ac:dyDescent="0.25">
      <c r="A82" s="9" t="str">
        <f t="shared" si="5"/>
        <v xml:space="preserve"> - </v>
      </c>
      <c r="C82" s="21"/>
    </row>
    <row r="83" spans="1:9" x14ac:dyDescent="0.25">
      <c r="A83" s="9" t="str">
        <f t="shared" si="5"/>
        <v xml:space="preserve"> - </v>
      </c>
      <c r="C83" s="21"/>
    </row>
    <row r="84" spans="1:9" x14ac:dyDescent="0.25">
      <c r="A84" s="9" t="str">
        <f t="shared" si="5"/>
        <v xml:space="preserve"> - </v>
      </c>
      <c r="C84" s="21"/>
    </row>
    <row r="85" spans="1:9" x14ac:dyDescent="0.25">
      <c r="A85" s="9" t="str">
        <f t="shared" si="5"/>
        <v xml:space="preserve"> - </v>
      </c>
      <c r="C85" s="21"/>
    </row>
    <row r="86" spans="1:9" x14ac:dyDescent="0.25">
      <c r="A86" s="9" t="str">
        <f t="shared" si="5"/>
        <v xml:space="preserve"> - </v>
      </c>
      <c r="C86" s="21"/>
    </row>
    <row r="87" spans="1:9" x14ac:dyDescent="0.25">
      <c r="A87" s="9" t="str">
        <f t="shared" si="5"/>
        <v xml:space="preserve"> - </v>
      </c>
      <c r="C87" s="21"/>
    </row>
    <row r="88" spans="1:9" x14ac:dyDescent="0.25">
      <c r="A88" s="9" t="str">
        <f t="shared" si="5"/>
        <v xml:space="preserve"> - </v>
      </c>
      <c r="C88" s="21"/>
    </row>
    <row r="89" spans="1:9" x14ac:dyDescent="0.25">
      <c r="A89" s="9" t="str">
        <f t="shared" si="5"/>
        <v xml:space="preserve"> - </v>
      </c>
      <c r="C89" s="21"/>
    </row>
    <row r="90" spans="1:9" x14ac:dyDescent="0.25">
      <c r="A90" s="9" t="str">
        <f t="shared" si="5"/>
        <v xml:space="preserve"> - </v>
      </c>
      <c r="C90" s="21"/>
    </row>
    <row r="91" spans="1:9" x14ac:dyDescent="0.25">
      <c r="A91" s="9" t="str">
        <f t="shared" si="5"/>
        <v xml:space="preserve"> - </v>
      </c>
      <c r="C91" s="21"/>
    </row>
    <row r="92" spans="1:9" x14ac:dyDescent="0.25">
      <c r="A92" s="9" t="str">
        <f t="shared" si="5"/>
        <v xml:space="preserve"> - </v>
      </c>
      <c r="C92" s="21"/>
    </row>
    <row r="93" spans="1:9" x14ac:dyDescent="0.25">
      <c r="A93" s="9" t="str">
        <f t="shared" si="5"/>
        <v>COMERCIO Y SUMINISTRO - Operación</v>
      </c>
      <c r="C93" s="21"/>
      <c r="D93" s="12" t="s">
        <v>2</v>
      </c>
      <c r="E93" s="12" t="s">
        <v>13</v>
      </c>
      <c r="F93" s="17">
        <v>15078851161</v>
      </c>
      <c r="G93" s="17">
        <f t="shared" ref="G93:G94" si="8">F93/$E$1</f>
        <v>251314186.01666668</v>
      </c>
      <c r="H93" s="17">
        <f t="shared" ref="H93:H94" si="9">F93-I93*$E$1</f>
        <v>78851161</v>
      </c>
      <c r="I93" s="17">
        <v>250000000</v>
      </c>
    </row>
    <row r="94" spans="1:9" x14ac:dyDescent="0.25">
      <c r="A94" s="9" t="str">
        <f t="shared" si="5"/>
        <v>COMERCIO Y SUMINISTRO - OCyG</v>
      </c>
      <c r="C94" s="21"/>
      <c r="D94" s="12" t="s">
        <v>2</v>
      </c>
      <c r="E94" s="12" t="s">
        <v>14</v>
      </c>
      <c r="F94" s="17">
        <v>2103893237840</v>
      </c>
      <c r="G94" s="17">
        <f t="shared" si="8"/>
        <v>35064887297.333336</v>
      </c>
      <c r="H94" s="17">
        <f t="shared" si="9"/>
        <v>176780</v>
      </c>
      <c r="I94" s="17">
        <v>35064884351</v>
      </c>
    </row>
    <row r="95" spans="1:9" x14ac:dyDescent="0.25">
      <c r="A95" s="9" t="str">
        <f t="shared" si="5"/>
        <v xml:space="preserve"> - </v>
      </c>
      <c r="C95" s="21"/>
    </row>
    <row r="96" spans="1:9" x14ac:dyDescent="0.25">
      <c r="A96" s="9" t="str">
        <f t="shared" si="5"/>
        <v xml:space="preserve"> - </v>
      </c>
      <c r="C96" s="21"/>
    </row>
    <row r="97" spans="1:3" x14ac:dyDescent="0.25">
      <c r="A97" s="9" t="str">
        <f t="shared" si="5"/>
        <v xml:space="preserve"> - </v>
      </c>
      <c r="C97" s="21"/>
    </row>
    <row r="98" spans="1:3" x14ac:dyDescent="0.25">
      <c r="A98" s="9" t="str">
        <f t="shared" si="5"/>
        <v xml:space="preserve"> - </v>
      </c>
      <c r="C98" s="21"/>
    </row>
    <row r="99" spans="1:3" x14ac:dyDescent="0.25">
      <c r="A99" s="9" t="str">
        <f t="shared" si="5"/>
        <v xml:space="preserve"> - </v>
      </c>
      <c r="C99" s="21"/>
    </row>
    <row r="100" spans="1:3" x14ac:dyDescent="0.25">
      <c r="A100" s="9" t="str">
        <f t="shared" si="5"/>
        <v xml:space="preserve"> - </v>
      </c>
      <c r="C100" s="21"/>
    </row>
    <row r="101" spans="1:3" x14ac:dyDescent="0.25">
      <c r="A101" s="9" t="str">
        <f t="shared" si="5"/>
        <v xml:space="preserve"> - </v>
      </c>
      <c r="C101" s="21"/>
    </row>
    <row r="102" spans="1:3" x14ac:dyDescent="0.25">
      <c r="A102" s="9" t="str">
        <f t="shared" si="5"/>
        <v xml:space="preserve"> - </v>
      </c>
      <c r="C102" s="21"/>
    </row>
    <row r="103" spans="1:3" x14ac:dyDescent="0.25">
      <c r="A103" s="9" t="str">
        <f t="shared" si="5"/>
        <v xml:space="preserve"> - </v>
      </c>
      <c r="C103" s="21"/>
    </row>
    <row r="104" spans="1:3" x14ac:dyDescent="0.25">
      <c r="A104" s="9" t="str">
        <f t="shared" si="5"/>
        <v xml:space="preserve"> - </v>
      </c>
      <c r="C104" s="21"/>
    </row>
    <row r="105" spans="1:3" x14ac:dyDescent="0.25">
      <c r="A105" s="9" t="str">
        <f t="shared" si="5"/>
        <v xml:space="preserve"> - </v>
      </c>
      <c r="C105" s="21"/>
    </row>
    <row r="106" spans="1:3" x14ac:dyDescent="0.25">
      <c r="A106" s="9" t="str">
        <f t="shared" si="5"/>
        <v xml:space="preserve"> - </v>
      </c>
      <c r="C106" s="21"/>
    </row>
    <row r="107" spans="1:3" x14ac:dyDescent="0.25">
      <c r="A107" s="9" t="str">
        <f t="shared" si="5"/>
        <v xml:space="preserve"> - </v>
      </c>
      <c r="C107" s="21"/>
    </row>
    <row r="108" spans="1:3" x14ac:dyDescent="0.25">
      <c r="A108" s="9" t="str">
        <f t="shared" si="5"/>
        <v xml:space="preserve"> - </v>
      </c>
      <c r="C108" s="21"/>
    </row>
    <row r="109" spans="1:3" x14ac:dyDescent="0.25">
      <c r="A109" s="9" t="str">
        <f t="shared" si="5"/>
        <v xml:space="preserve"> - </v>
      </c>
      <c r="C109" s="21"/>
    </row>
    <row r="110" spans="1:3" x14ac:dyDescent="0.25">
      <c r="A110" s="9" t="str">
        <f t="shared" si="5"/>
        <v xml:space="preserve"> - </v>
      </c>
      <c r="C110" s="21"/>
    </row>
    <row r="111" spans="1:3" x14ac:dyDescent="0.25">
      <c r="A111" s="9" t="str">
        <f t="shared" si="5"/>
        <v xml:space="preserve"> - </v>
      </c>
      <c r="C111" s="21"/>
    </row>
    <row r="112" spans="1:3" x14ac:dyDescent="0.25">
      <c r="A112" s="9" t="str">
        <f t="shared" si="5"/>
        <v xml:space="preserve"> - </v>
      </c>
      <c r="C112" s="21"/>
    </row>
    <row r="113" spans="1:9" x14ac:dyDescent="0.25">
      <c r="A113" s="9" t="str">
        <f t="shared" si="5"/>
        <v xml:space="preserve"> - </v>
      </c>
      <c r="C113" s="21"/>
    </row>
    <row r="114" spans="1:9" x14ac:dyDescent="0.25">
      <c r="A114" s="9" t="str">
        <f t="shared" si="5"/>
        <v xml:space="preserve"> - </v>
      </c>
      <c r="C114" s="21"/>
    </row>
    <row r="115" spans="1:9" x14ac:dyDescent="0.25">
      <c r="A115" s="9" t="str">
        <f t="shared" si="5"/>
        <v xml:space="preserve"> - </v>
      </c>
      <c r="C115" s="21"/>
    </row>
    <row r="116" spans="1:9" x14ac:dyDescent="0.25">
      <c r="A116" s="9" t="str">
        <f t="shared" si="5"/>
        <v xml:space="preserve"> - </v>
      </c>
      <c r="C116" s="21"/>
    </row>
    <row r="117" spans="1:9" x14ac:dyDescent="0.25">
      <c r="A117" s="9" t="str">
        <f t="shared" si="5"/>
        <v xml:space="preserve"> - </v>
      </c>
      <c r="C117" s="21"/>
    </row>
    <row r="118" spans="1:9" x14ac:dyDescent="0.25">
      <c r="A118" s="9" t="str">
        <f t="shared" si="5"/>
        <v xml:space="preserve"> - </v>
      </c>
      <c r="C118" s="21"/>
    </row>
    <row r="119" spans="1:9" x14ac:dyDescent="0.25">
      <c r="A119" s="9" t="str">
        <f t="shared" si="5"/>
        <v xml:space="preserve"> - </v>
      </c>
      <c r="C119" s="21"/>
    </row>
    <row r="120" spans="1:9" x14ac:dyDescent="0.25">
      <c r="A120" s="9" t="str">
        <f t="shared" si="5"/>
        <v>MERCADO NACIONAL - Operación</v>
      </c>
      <c r="B120" s="21" t="s">
        <v>46</v>
      </c>
      <c r="C120" s="21"/>
      <c r="D120" s="12" t="s">
        <v>11</v>
      </c>
      <c r="E120" s="12" t="s">
        <v>13</v>
      </c>
      <c r="F120" s="17">
        <v>4515702060</v>
      </c>
      <c r="G120" s="17">
        <f t="shared" ref="G120:G122" si="10">F120/$E$1</f>
        <v>75261701</v>
      </c>
      <c r="H120" s="17">
        <f t="shared" ref="H120:H122" si="11">F120-I120*$E$1</f>
        <v>177240240</v>
      </c>
      <c r="I120" s="17">
        <v>72307697</v>
      </c>
    </row>
    <row r="121" spans="1:9" x14ac:dyDescent="0.25">
      <c r="A121" s="9" t="str">
        <f t="shared" si="5"/>
        <v>MERCADO NACIONAL - OCyG</v>
      </c>
      <c r="B121" s="21"/>
      <c r="C121" s="21"/>
      <c r="D121" s="12" t="s">
        <v>11</v>
      </c>
      <c r="E121" s="12" t="s">
        <v>14</v>
      </c>
      <c r="F121" s="17">
        <v>23387549</v>
      </c>
      <c r="G121" s="17">
        <f t="shared" si="10"/>
        <v>389792.48333333334</v>
      </c>
      <c r="H121" s="17">
        <f t="shared" si="11"/>
        <v>23387549</v>
      </c>
      <c r="I121" s="17">
        <v>0</v>
      </c>
    </row>
    <row r="122" spans="1:9" x14ac:dyDescent="0.25">
      <c r="A122" s="9" t="str">
        <f t="shared" si="5"/>
        <v>MERCADO NACIONAL - Inversión</v>
      </c>
      <c r="B122" s="21"/>
      <c r="C122" s="21"/>
      <c r="D122" s="12" t="s">
        <v>11</v>
      </c>
      <c r="E122" s="12" t="s">
        <v>15</v>
      </c>
      <c r="F122" s="17">
        <v>521001079</v>
      </c>
      <c r="G122" s="17">
        <f t="shared" si="10"/>
        <v>8683351.3166666664</v>
      </c>
      <c r="H122" s="17">
        <f t="shared" si="11"/>
        <v>32718919</v>
      </c>
      <c r="I122" s="17">
        <v>8138036</v>
      </c>
    </row>
    <row r="123" spans="1:9" x14ac:dyDescent="0.25">
      <c r="A123" s="9" t="str">
        <f t="shared" si="5"/>
        <v xml:space="preserve"> - </v>
      </c>
      <c r="B123" s="21"/>
      <c r="C123" s="21"/>
    </row>
    <row r="124" spans="1:9" x14ac:dyDescent="0.25">
      <c r="A124" s="9" t="str">
        <f t="shared" si="5"/>
        <v xml:space="preserve"> - </v>
      </c>
      <c r="B124" s="21"/>
      <c r="C124" s="21"/>
    </row>
    <row r="125" spans="1:9" x14ac:dyDescent="0.25">
      <c r="A125" s="9" t="str">
        <f t="shared" si="5"/>
        <v xml:space="preserve"> - </v>
      </c>
      <c r="B125" s="21"/>
      <c r="C125" s="21"/>
    </row>
    <row r="126" spans="1:9" x14ac:dyDescent="0.25">
      <c r="A126" s="9" t="str">
        <f t="shared" si="5"/>
        <v xml:space="preserve"> - </v>
      </c>
      <c r="B126" s="21"/>
      <c r="C126" s="21"/>
    </row>
    <row r="127" spans="1:9" x14ac:dyDescent="0.25">
      <c r="A127" s="9" t="str">
        <f t="shared" si="5"/>
        <v xml:space="preserve"> - </v>
      </c>
      <c r="B127" s="21"/>
      <c r="C127" s="21"/>
    </row>
    <row r="128" spans="1:9" x14ac:dyDescent="0.25">
      <c r="A128" s="9" t="str">
        <f t="shared" si="5"/>
        <v xml:space="preserve"> - </v>
      </c>
      <c r="B128" s="21"/>
      <c r="C128" s="21"/>
    </row>
    <row r="129" spans="1:3" x14ac:dyDescent="0.25">
      <c r="A129" s="9" t="str">
        <f t="shared" si="5"/>
        <v xml:space="preserve"> - </v>
      </c>
      <c r="B129" s="21"/>
      <c r="C129" s="21"/>
    </row>
    <row r="130" spans="1:3" x14ac:dyDescent="0.25">
      <c r="A130" s="9" t="str">
        <f t="shared" si="5"/>
        <v xml:space="preserve"> - </v>
      </c>
      <c r="B130" s="21"/>
      <c r="C130" s="21"/>
    </row>
    <row r="131" spans="1:3" x14ac:dyDescent="0.25">
      <c r="A131" s="9" t="str">
        <f t="shared" si="5"/>
        <v xml:space="preserve"> - </v>
      </c>
      <c r="B131" s="21"/>
      <c r="C131" s="21"/>
    </row>
    <row r="132" spans="1:3" x14ac:dyDescent="0.25">
      <c r="A132" s="9" t="str">
        <f t="shared" ref="A132:A206" si="12">D132&amp;" - "&amp;E132</f>
        <v xml:space="preserve"> - </v>
      </c>
      <c r="B132" s="21"/>
      <c r="C132" s="21"/>
    </row>
    <row r="133" spans="1:3" x14ac:dyDescent="0.25">
      <c r="A133" s="9" t="str">
        <f t="shared" si="12"/>
        <v xml:space="preserve"> - </v>
      </c>
      <c r="B133" s="21"/>
      <c r="C133" s="21"/>
    </row>
    <row r="134" spans="1:3" x14ac:dyDescent="0.25">
      <c r="A134" s="9" t="str">
        <f t="shared" si="12"/>
        <v xml:space="preserve"> - </v>
      </c>
      <c r="B134" s="21"/>
      <c r="C134" s="21"/>
    </row>
    <row r="135" spans="1:3" x14ac:dyDescent="0.25">
      <c r="A135" s="9" t="str">
        <f t="shared" si="12"/>
        <v xml:space="preserve"> - </v>
      </c>
      <c r="B135" s="21"/>
      <c r="C135" s="21"/>
    </row>
    <row r="136" spans="1:3" x14ac:dyDescent="0.25">
      <c r="A136" s="9" t="str">
        <f t="shared" si="12"/>
        <v xml:space="preserve"> - </v>
      </c>
      <c r="B136" s="21"/>
      <c r="C136" s="21"/>
    </row>
    <row r="137" spans="1:3" x14ac:dyDescent="0.25">
      <c r="A137" s="9" t="str">
        <f t="shared" si="12"/>
        <v xml:space="preserve"> - </v>
      </c>
      <c r="B137" s="21"/>
      <c r="C137" s="21"/>
    </row>
    <row r="138" spans="1:3" x14ac:dyDescent="0.25">
      <c r="A138" s="9" t="str">
        <f t="shared" si="12"/>
        <v xml:space="preserve"> - </v>
      </c>
      <c r="B138" s="21"/>
      <c r="C138" s="21"/>
    </row>
    <row r="139" spans="1:3" x14ac:dyDescent="0.25">
      <c r="A139" s="9" t="str">
        <f t="shared" si="12"/>
        <v xml:space="preserve"> - </v>
      </c>
      <c r="B139" s="21"/>
      <c r="C139" s="21"/>
    </row>
    <row r="140" spans="1:3" x14ac:dyDescent="0.25">
      <c r="A140" s="9" t="str">
        <f t="shared" si="12"/>
        <v xml:space="preserve"> - </v>
      </c>
      <c r="B140" s="21"/>
      <c r="C140" s="21"/>
    </row>
    <row r="141" spans="1:3" x14ac:dyDescent="0.25">
      <c r="A141" s="9" t="str">
        <f t="shared" si="12"/>
        <v xml:space="preserve"> - </v>
      </c>
      <c r="B141" s="21"/>
      <c r="C141" s="21"/>
    </row>
    <row r="142" spans="1:3" x14ac:dyDescent="0.25">
      <c r="A142" s="9" t="str">
        <f t="shared" si="12"/>
        <v xml:space="preserve"> - </v>
      </c>
      <c r="B142" s="21"/>
      <c r="C142" s="21"/>
    </row>
    <row r="143" spans="1:3" x14ac:dyDescent="0.25">
      <c r="A143" s="9" t="str">
        <f t="shared" si="12"/>
        <v xml:space="preserve"> - </v>
      </c>
      <c r="B143" s="21"/>
      <c r="C143" s="21"/>
    </row>
    <row r="144" spans="1:3" x14ac:dyDescent="0.25">
      <c r="A144" s="9" t="str">
        <f t="shared" si="12"/>
        <v xml:space="preserve"> - </v>
      </c>
      <c r="B144" s="21"/>
      <c r="C144" s="21"/>
    </row>
    <row r="145" spans="1:9" x14ac:dyDescent="0.25">
      <c r="A145" s="9" t="str">
        <f t="shared" si="12"/>
        <v xml:space="preserve"> - </v>
      </c>
      <c r="B145" s="21"/>
      <c r="C145" s="21"/>
    </row>
    <row r="146" spans="1:9" x14ac:dyDescent="0.25">
      <c r="A146" s="9" t="str">
        <f t="shared" si="12"/>
        <v xml:space="preserve"> - </v>
      </c>
      <c r="B146" s="21"/>
      <c r="C146" s="21"/>
    </row>
    <row r="147" spans="1:9" x14ac:dyDescent="0.25">
      <c r="A147" s="9" t="str">
        <f t="shared" si="12"/>
        <v xml:space="preserve"> - </v>
      </c>
      <c r="B147" s="21"/>
      <c r="C147" s="21"/>
    </row>
    <row r="148" spans="1:9" x14ac:dyDescent="0.25">
      <c r="A148" s="9" t="str">
        <f t="shared" si="12"/>
        <v xml:space="preserve"> - </v>
      </c>
      <c r="B148" s="21"/>
      <c r="C148" s="21"/>
    </row>
    <row r="149" spans="1:9" x14ac:dyDescent="0.25">
      <c r="A149" s="9" t="str">
        <f t="shared" si="12"/>
        <v xml:space="preserve"> - </v>
      </c>
      <c r="B149" s="21"/>
      <c r="C149" s="21"/>
    </row>
    <row r="150" spans="1:9" x14ac:dyDescent="0.25">
      <c r="A150" s="9" t="str">
        <f t="shared" si="12"/>
        <v xml:space="preserve"> - </v>
      </c>
      <c r="B150" s="21"/>
      <c r="C150" s="21"/>
    </row>
    <row r="151" spans="1:9" x14ac:dyDescent="0.25">
      <c r="A151" s="9" t="str">
        <f t="shared" si="12"/>
        <v xml:space="preserve"> - </v>
      </c>
      <c r="B151" s="21"/>
      <c r="C151" s="21"/>
    </row>
    <row r="152" spans="1:9" x14ac:dyDescent="0.25">
      <c r="A152" s="9" t="str">
        <f t="shared" si="12"/>
        <v xml:space="preserve"> - </v>
      </c>
      <c r="B152" s="21"/>
      <c r="C152" s="21"/>
    </row>
    <row r="153" spans="1:9" x14ac:dyDescent="0.25">
      <c r="A153" s="9" t="str">
        <f t="shared" si="12"/>
        <v xml:space="preserve"> - </v>
      </c>
      <c r="B153" s="21"/>
      <c r="C153" s="21"/>
    </row>
    <row r="154" spans="1:9" x14ac:dyDescent="0.25">
      <c r="A154" s="9" t="str">
        <f t="shared" si="12"/>
        <v xml:space="preserve"> - </v>
      </c>
      <c r="B154" s="21"/>
      <c r="C154" s="21"/>
    </row>
    <row r="155" spans="1:9" x14ac:dyDescent="0.25">
      <c r="A155" s="9" t="str">
        <f t="shared" si="12"/>
        <v xml:space="preserve"> - </v>
      </c>
      <c r="B155" s="21"/>
      <c r="C155" s="21"/>
    </row>
    <row r="156" spans="1:9" x14ac:dyDescent="0.25">
      <c r="A156" s="9" t="str">
        <f t="shared" si="12"/>
        <v>ENT - Operación</v>
      </c>
      <c r="B156" s="12" t="s">
        <v>53</v>
      </c>
      <c r="C156" s="21"/>
      <c r="D156" s="12" t="s">
        <v>3</v>
      </c>
      <c r="E156" s="12" t="s">
        <v>13</v>
      </c>
      <c r="F156" s="17">
        <v>966793217</v>
      </c>
      <c r="G156" s="17">
        <f t="shared" ref="G156:G158" si="13">F156/$E$1</f>
        <v>16113220.283333333</v>
      </c>
      <c r="H156" s="17">
        <f t="shared" ref="H156:H158" si="14">F156-I156*$E$1</f>
        <v>66793217</v>
      </c>
      <c r="I156" s="17">
        <v>15000000</v>
      </c>
    </row>
    <row r="157" spans="1:9" x14ac:dyDescent="0.25">
      <c r="A157" s="9" t="str">
        <f t="shared" si="12"/>
        <v>ENT - OCyG</v>
      </c>
      <c r="C157" s="21"/>
      <c r="D157" s="12" t="s">
        <v>3</v>
      </c>
      <c r="E157" s="12" t="s">
        <v>14</v>
      </c>
      <c r="F157" s="17">
        <v>58100759</v>
      </c>
      <c r="G157" s="17">
        <f t="shared" si="13"/>
        <v>968345.98333333328</v>
      </c>
      <c r="H157" s="17">
        <f t="shared" si="14"/>
        <v>58100759</v>
      </c>
      <c r="I157" s="17">
        <v>0</v>
      </c>
    </row>
    <row r="158" spans="1:9" x14ac:dyDescent="0.25">
      <c r="A158" s="9" t="str">
        <f t="shared" si="12"/>
        <v>ENT - Inversión</v>
      </c>
      <c r="C158" s="21"/>
      <c r="D158" s="12" t="s">
        <v>3</v>
      </c>
      <c r="E158" s="12" t="s">
        <v>15</v>
      </c>
      <c r="F158" s="17">
        <v>2155</v>
      </c>
      <c r="G158" s="17">
        <f t="shared" si="13"/>
        <v>35.916666666666664</v>
      </c>
      <c r="H158" s="17">
        <f t="shared" si="14"/>
        <v>2155</v>
      </c>
      <c r="I158" s="17">
        <v>0</v>
      </c>
    </row>
    <row r="159" spans="1:9" x14ac:dyDescent="0.25">
      <c r="A159" s="9" t="str">
        <f t="shared" si="12"/>
        <v xml:space="preserve"> - </v>
      </c>
      <c r="C159" s="21"/>
    </row>
    <row r="160" spans="1:9" x14ac:dyDescent="0.25">
      <c r="A160" s="9" t="str">
        <f t="shared" si="12"/>
        <v xml:space="preserve"> - </v>
      </c>
      <c r="C160" s="21"/>
    </row>
    <row r="161" spans="1:3" x14ac:dyDescent="0.25">
      <c r="A161" s="9" t="str">
        <f t="shared" si="12"/>
        <v xml:space="preserve"> - </v>
      </c>
      <c r="C161" s="21"/>
    </row>
    <row r="162" spans="1:3" x14ac:dyDescent="0.25">
      <c r="A162" s="9" t="str">
        <f t="shared" si="12"/>
        <v xml:space="preserve"> - </v>
      </c>
      <c r="C162" s="21"/>
    </row>
    <row r="163" spans="1:3" x14ac:dyDescent="0.25">
      <c r="A163" s="9" t="str">
        <f t="shared" si="12"/>
        <v xml:space="preserve"> - </v>
      </c>
      <c r="C163" s="21"/>
    </row>
    <row r="164" spans="1:3" x14ac:dyDescent="0.25">
      <c r="A164" s="9" t="str">
        <f t="shared" si="12"/>
        <v xml:space="preserve"> - </v>
      </c>
      <c r="C164" s="21"/>
    </row>
    <row r="165" spans="1:3" x14ac:dyDescent="0.25">
      <c r="A165" s="9" t="str">
        <f t="shared" si="12"/>
        <v xml:space="preserve"> - </v>
      </c>
      <c r="C165" s="21"/>
    </row>
    <row r="166" spans="1:3" x14ac:dyDescent="0.25">
      <c r="A166" s="9" t="str">
        <f t="shared" si="12"/>
        <v xml:space="preserve"> - </v>
      </c>
      <c r="C166" s="21"/>
    </row>
    <row r="167" spans="1:3" x14ac:dyDescent="0.25">
      <c r="A167" s="9" t="str">
        <f t="shared" si="12"/>
        <v xml:space="preserve"> - </v>
      </c>
      <c r="C167" s="21"/>
    </row>
    <row r="168" spans="1:3" x14ac:dyDescent="0.25">
      <c r="A168" s="9" t="str">
        <f t="shared" si="12"/>
        <v xml:space="preserve"> - </v>
      </c>
      <c r="C168" s="21"/>
    </row>
    <row r="169" spans="1:3" x14ac:dyDescent="0.25">
      <c r="A169" s="9" t="str">
        <f t="shared" si="12"/>
        <v xml:space="preserve"> - </v>
      </c>
      <c r="C169" s="21"/>
    </row>
    <row r="170" spans="1:3" x14ac:dyDescent="0.25">
      <c r="A170" s="9" t="str">
        <f t="shared" si="12"/>
        <v xml:space="preserve"> - </v>
      </c>
      <c r="C170" s="21"/>
    </row>
    <row r="171" spans="1:3" x14ac:dyDescent="0.25">
      <c r="A171" s="9" t="str">
        <f t="shared" si="12"/>
        <v xml:space="preserve"> - </v>
      </c>
      <c r="C171" s="21"/>
    </row>
    <row r="172" spans="1:3" x14ac:dyDescent="0.25">
      <c r="A172" s="9" t="str">
        <f t="shared" si="12"/>
        <v xml:space="preserve"> - </v>
      </c>
      <c r="C172" s="21"/>
    </row>
    <row r="173" spans="1:3" x14ac:dyDescent="0.25">
      <c r="A173" s="9" t="str">
        <f t="shared" si="12"/>
        <v xml:space="preserve"> - </v>
      </c>
      <c r="C173" s="21"/>
    </row>
    <row r="174" spans="1:3" x14ac:dyDescent="0.25">
      <c r="A174" s="9" t="str">
        <f t="shared" si="12"/>
        <v xml:space="preserve"> - </v>
      </c>
      <c r="C174" s="21"/>
    </row>
    <row r="175" spans="1:3" x14ac:dyDescent="0.25">
      <c r="A175" s="9" t="str">
        <f t="shared" si="12"/>
        <v xml:space="preserve"> - </v>
      </c>
      <c r="C175" s="21"/>
    </row>
    <row r="176" spans="1:3" x14ac:dyDescent="0.25">
      <c r="A176" s="9" t="str">
        <f t="shared" si="12"/>
        <v xml:space="preserve"> - </v>
      </c>
      <c r="C176" s="21"/>
    </row>
    <row r="177" spans="1:9" x14ac:dyDescent="0.25">
      <c r="A177" s="9" t="str">
        <f t="shared" si="12"/>
        <v xml:space="preserve"> - </v>
      </c>
      <c r="C177" s="21"/>
    </row>
    <row r="178" spans="1:9" x14ac:dyDescent="0.25">
      <c r="A178" s="9" t="str">
        <f t="shared" si="12"/>
        <v xml:space="preserve"> - </v>
      </c>
      <c r="C178" s="21"/>
    </row>
    <row r="179" spans="1:9" x14ac:dyDescent="0.25">
      <c r="C179" s="21"/>
    </row>
    <row r="190" spans="1:9" x14ac:dyDescent="0.25">
      <c r="A190" s="9" t="str">
        <f t="shared" si="12"/>
        <v xml:space="preserve"> - </v>
      </c>
    </row>
    <row r="191" spans="1:9" x14ac:dyDescent="0.25">
      <c r="A191" s="9" t="str">
        <f t="shared" si="12"/>
        <v>PDVSA NAVAL - Operación</v>
      </c>
      <c r="D191" s="12" t="s">
        <v>52</v>
      </c>
      <c r="E191" s="12" t="s">
        <v>13</v>
      </c>
      <c r="F191" s="17">
        <v>81651213.099999994</v>
      </c>
      <c r="G191" s="17">
        <f t="shared" ref="G191:G192" si="15">F191/$E$1</f>
        <v>1360853.5516666665</v>
      </c>
      <c r="H191" s="17">
        <f t="shared" ref="H191:H192" si="16">F191-I191*$E$1</f>
        <v>18051213.099999994</v>
      </c>
      <c r="I191" s="17">
        <v>1060000</v>
      </c>
    </row>
    <row r="192" spans="1:9" x14ac:dyDescent="0.25">
      <c r="A192" s="9" t="str">
        <f t="shared" si="12"/>
        <v xml:space="preserve"> - OCyG</v>
      </c>
      <c r="E192" s="12" t="s">
        <v>14</v>
      </c>
      <c r="F192" s="17">
        <v>14310</v>
      </c>
      <c r="G192" s="17">
        <f t="shared" si="15"/>
        <v>238.5</v>
      </c>
      <c r="H192" s="17">
        <f t="shared" si="16"/>
        <v>14310</v>
      </c>
      <c r="I192" s="17">
        <v>0</v>
      </c>
    </row>
    <row r="193" spans="1:9" x14ac:dyDescent="0.25">
      <c r="A193" s="9" t="str">
        <f t="shared" si="12"/>
        <v xml:space="preserve"> - Inversión</v>
      </c>
      <c r="E193" s="12" t="s">
        <v>15</v>
      </c>
      <c r="F193" s="17">
        <v>60600071.149999999</v>
      </c>
      <c r="G193" s="17">
        <f t="shared" ref="G193" si="17">F193/$E$1</f>
        <v>1010001.1858333333</v>
      </c>
      <c r="H193" s="17">
        <f t="shared" ref="H193" si="18">F193-I193*$E$1</f>
        <v>71.149999998509884</v>
      </c>
      <c r="I193" s="17">
        <v>1010000</v>
      </c>
    </row>
    <row r="194" spans="1:9" x14ac:dyDescent="0.25">
      <c r="A194" s="9" t="str">
        <f t="shared" si="12"/>
        <v xml:space="preserve"> - </v>
      </c>
    </row>
    <row r="195" spans="1:9" x14ac:dyDescent="0.25">
      <c r="A195" s="9" t="str">
        <f t="shared" si="12"/>
        <v xml:space="preserve"> - </v>
      </c>
    </row>
    <row r="196" spans="1:9" x14ac:dyDescent="0.25">
      <c r="A196" s="9" t="str">
        <f t="shared" si="12"/>
        <v xml:space="preserve"> - </v>
      </c>
    </row>
    <row r="197" spans="1:9" x14ac:dyDescent="0.25">
      <c r="A197" s="9" t="str">
        <f t="shared" si="12"/>
        <v xml:space="preserve"> - </v>
      </c>
    </row>
    <row r="198" spans="1:9" x14ac:dyDescent="0.25">
      <c r="A198" s="9" t="str">
        <f t="shared" si="12"/>
        <v xml:space="preserve"> - </v>
      </c>
    </row>
    <row r="199" spans="1:9" x14ac:dyDescent="0.25">
      <c r="A199" s="9" t="str">
        <f t="shared" si="12"/>
        <v xml:space="preserve"> - </v>
      </c>
    </row>
    <row r="200" spans="1:9" x14ac:dyDescent="0.25">
      <c r="A200" s="9" t="str">
        <f t="shared" si="12"/>
        <v xml:space="preserve"> - </v>
      </c>
    </row>
    <row r="201" spans="1:9" x14ac:dyDescent="0.25">
      <c r="A201" s="9" t="str">
        <f t="shared" si="12"/>
        <v xml:space="preserve"> - </v>
      </c>
    </row>
    <row r="202" spans="1:9" x14ac:dyDescent="0.25">
      <c r="A202" s="9" t="str">
        <f t="shared" si="12"/>
        <v xml:space="preserve"> - </v>
      </c>
    </row>
    <row r="203" spans="1:9" x14ac:dyDescent="0.25">
      <c r="A203" s="9" t="str">
        <f t="shared" si="12"/>
        <v xml:space="preserve"> - </v>
      </c>
    </row>
    <row r="204" spans="1:9" x14ac:dyDescent="0.25">
      <c r="A204" s="9" t="str">
        <f t="shared" si="12"/>
        <v xml:space="preserve"> - </v>
      </c>
    </row>
    <row r="205" spans="1:9" x14ac:dyDescent="0.25">
      <c r="A205" s="9" t="str">
        <f t="shared" si="12"/>
        <v xml:space="preserve"> - </v>
      </c>
    </row>
    <row r="206" spans="1:9" x14ac:dyDescent="0.25">
      <c r="A206" s="9" t="str">
        <f t="shared" si="12"/>
        <v xml:space="preserve"> - </v>
      </c>
    </row>
    <row r="207" spans="1:9" x14ac:dyDescent="0.25">
      <c r="A207" s="9" t="str">
        <f t="shared" ref="A207:A211" si="19">D207&amp;" - "&amp;E207</f>
        <v xml:space="preserve"> - </v>
      </c>
    </row>
    <row r="208" spans="1:9" x14ac:dyDescent="0.25">
      <c r="A208" s="9" t="str">
        <f t="shared" si="19"/>
        <v xml:space="preserve"> - </v>
      </c>
    </row>
    <row r="209" spans="1:1" x14ac:dyDescent="0.25">
      <c r="A209" s="9" t="str">
        <f t="shared" si="19"/>
        <v xml:space="preserve"> - </v>
      </c>
    </row>
    <row r="210" spans="1:1" x14ac:dyDescent="0.25">
      <c r="A210" s="9" t="str">
        <f t="shared" si="19"/>
        <v xml:space="preserve"> - </v>
      </c>
    </row>
    <row r="211" spans="1:1" x14ac:dyDescent="0.25">
      <c r="A211" s="9" t="str">
        <f t="shared" si="19"/>
        <v xml:space="preserve"> - </v>
      </c>
    </row>
    <row r="225" spans="2:9" x14ac:dyDescent="0.25">
      <c r="B225" s="12" t="s">
        <v>46</v>
      </c>
      <c r="D225" s="12" t="s">
        <v>59</v>
      </c>
      <c r="E225" s="12" t="s">
        <v>13</v>
      </c>
      <c r="F225" s="17">
        <v>21237745</v>
      </c>
      <c r="G225" s="17">
        <f t="shared" ref="G225:G226" si="20">F225/$E$1</f>
        <v>353962.41666666669</v>
      </c>
      <c r="H225" s="17">
        <f t="shared" ref="H225:H226" si="21">F225-I225*$E$1</f>
        <v>21237745</v>
      </c>
      <c r="I225" s="17">
        <v>0</v>
      </c>
    </row>
    <row r="226" spans="2:9" x14ac:dyDescent="0.25">
      <c r="E226" s="12" t="s">
        <v>15</v>
      </c>
      <c r="F226" s="17">
        <v>10880000</v>
      </c>
      <c r="G226" s="17">
        <f t="shared" si="20"/>
        <v>181333.33333333334</v>
      </c>
      <c r="H226" s="17">
        <f t="shared" si="21"/>
        <v>10880000</v>
      </c>
      <c r="I226" s="17">
        <v>0</v>
      </c>
    </row>
  </sheetData>
  <dataValidations count="2">
    <dataValidation type="list" allowBlank="1" showInputMessage="1" showErrorMessage="1" sqref="E3:E1048576">
      <formula1>Presupuesto</formula1>
    </dataValidation>
    <dataValidation type="list" allowBlank="1" showInputMessage="1" showErrorMessage="1" sqref="D3:D1048576">
      <formula1>NegocioFilial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M200"/>
  <sheetViews>
    <sheetView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I120" sqref="I120"/>
    </sheetView>
  </sheetViews>
  <sheetFormatPr baseColWidth="10" defaultColWidth="9.140625" defaultRowHeight="11.25" x14ac:dyDescent="0.25"/>
  <cols>
    <col min="1" max="1" width="16.85546875" style="9" hidden="1" customWidth="1"/>
    <col min="2" max="2" width="55.5703125" style="12" customWidth="1"/>
    <col min="3" max="3" width="1.7109375" style="12" customWidth="1"/>
    <col min="4" max="4" width="17.5703125" style="12" bestFit="1" customWidth="1"/>
    <col min="5" max="5" width="16.140625" style="12" customWidth="1"/>
    <col min="6" max="6" width="16.7109375" style="17" bestFit="1" customWidth="1"/>
    <col min="7" max="7" width="15.7109375" style="17" customWidth="1"/>
    <col min="8" max="8" width="16.7109375" style="17" bestFit="1" customWidth="1"/>
    <col min="9" max="9" width="15.7109375" style="17" customWidth="1"/>
    <col min="10" max="12" width="9.140625" style="12"/>
    <col min="13" max="13" width="19" style="17" bestFit="1" customWidth="1"/>
    <col min="14" max="16384" width="9.140625" style="12"/>
  </cols>
  <sheetData>
    <row r="1" spans="1:9" x14ac:dyDescent="0.25">
      <c r="D1" s="5" t="s">
        <v>16</v>
      </c>
      <c r="E1" s="17">
        <v>10</v>
      </c>
    </row>
    <row r="2" spans="1:9" x14ac:dyDescent="0.25">
      <c r="A2" s="10" t="s">
        <v>27</v>
      </c>
      <c r="B2" s="2" t="s">
        <v>4</v>
      </c>
      <c r="D2" s="2" t="s">
        <v>9</v>
      </c>
      <c r="E2" s="2" t="s">
        <v>12</v>
      </c>
      <c r="F2" s="4" t="s">
        <v>5</v>
      </c>
      <c r="G2" s="4" t="s">
        <v>6</v>
      </c>
      <c r="H2" s="4" t="s">
        <v>7</v>
      </c>
      <c r="I2" s="4" t="s">
        <v>8</v>
      </c>
    </row>
    <row r="3" spans="1:9" x14ac:dyDescent="0.25">
      <c r="A3" s="9" t="str">
        <f>D3&amp;" - "&amp;E3</f>
        <v>PETROMAR - Compras</v>
      </c>
      <c r="D3" s="12" t="s">
        <v>10</v>
      </c>
      <c r="E3" s="12" t="s">
        <v>17</v>
      </c>
      <c r="G3" s="17">
        <f>F3/$E$1</f>
        <v>0</v>
      </c>
      <c r="H3" s="17">
        <f>F3-I3*$E$1</f>
        <v>0</v>
      </c>
    </row>
    <row r="4" spans="1:9" x14ac:dyDescent="0.25">
      <c r="A4" s="9" t="str">
        <f t="shared" ref="A4:A67" si="0">D4&amp;" - "&amp;E4</f>
        <v xml:space="preserve"> - </v>
      </c>
    </row>
    <row r="5" spans="1:9" x14ac:dyDescent="0.25">
      <c r="A5" s="9" t="str">
        <f t="shared" si="0"/>
        <v xml:space="preserve"> - </v>
      </c>
    </row>
    <row r="6" spans="1:9" x14ac:dyDescent="0.25">
      <c r="A6" s="9" t="str">
        <f t="shared" si="0"/>
        <v xml:space="preserve"> - </v>
      </c>
    </row>
    <row r="7" spans="1:9" x14ac:dyDescent="0.25">
      <c r="A7" s="9" t="str">
        <f t="shared" si="0"/>
        <v xml:space="preserve"> - </v>
      </c>
    </row>
    <row r="8" spans="1:9" x14ac:dyDescent="0.25">
      <c r="A8" s="9" t="str">
        <f t="shared" si="0"/>
        <v xml:space="preserve"> - </v>
      </c>
    </row>
    <row r="9" spans="1:9" x14ac:dyDescent="0.25">
      <c r="A9" s="9" t="str">
        <f t="shared" si="0"/>
        <v xml:space="preserve"> - </v>
      </c>
    </row>
    <row r="10" spans="1:9" x14ac:dyDescent="0.25">
      <c r="A10" s="9" t="str">
        <f t="shared" si="0"/>
        <v xml:space="preserve"> - </v>
      </c>
    </row>
    <row r="11" spans="1:9" x14ac:dyDescent="0.25">
      <c r="A11" s="9" t="str">
        <f t="shared" si="0"/>
        <v xml:space="preserve"> - </v>
      </c>
    </row>
    <row r="12" spans="1:9" x14ac:dyDescent="0.25">
      <c r="A12" s="9" t="str">
        <f t="shared" si="0"/>
        <v xml:space="preserve"> - </v>
      </c>
    </row>
    <row r="13" spans="1:9" x14ac:dyDescent="0.25">
      <c r="A13" s="9" t="str">
        <f t="shared" si="0"/>
        <v xml:space="preserve"> - </v>
      </c>
    </row>
    <row r="14" spans="1:9" x14ac:dyDescent="0.25">
      <c r="A14" s="9" t="str">
        <f t="shared" si="0"/>
        <v xml:space="preserve"> - </v>
      </c>
    </row>
    <row r="15" spans="1:9" x14ac:dyDescent="0.25">
      <c r="A15" s="9" t="str">
        <f t="shared" si="0"/>
        <v xml:space="preserve"> - </v>
      </c>
    </row>
    <row r="16" spans="1:9" x14ac:dyDescent="0.25">
      <c r="A16" s="9" t="str">
        <f t="shared" si="0"/>
        <v xml:space="preserve"> - </v>
      </c>
    </row>
    <row r="17" spans="1:9" x14ac:dyDescent="0.25">
      <c r="A17" s="9" t="str">
        <f t="shared" si="0"/>
        <v>COMERCIT - Operación</v>
      </c>
      <c r="D17" s="12" t="s">
        <v>18</v>
      </c>
      <c r="E17" s="12" t="s">
        <v>13</v>
      </c>
      <c r="F17" s="17">
        <v>50000000</v>
      </c>
      <c r="G17" s="17">
        <f t="shared" ref="G17:G18" si="1">F17/$E$1</f>
        <v>5000000</v>
      </c>
      <c r="H17" s="17">
        <f t="shared" ref="H17:H18" si="2">F17-I17*$E$1</f>
        <v>0</v>
      </c>
      <c r="I17" s="17">
        <v>5000000</v>
      </c>
    </row>
    <row r="18" spans="1:9" x14ac:dyDescent="0.25">
      <c r="A18" s="9" t="str">
        <f t="shared" si="0"/>
        <v>COMERCIT - OCyG</v>
      </c>
      <c r="D18" s="12" t="s">
        <v>18</v>
      </c>
      <c r="E18" s="12" t="s">
        <v>14</v>
      </c>
      <c r="F18" s="17">
        <v>1475569294</v>
      </c>
      <c r="G18" s="17">
        <f t="shared" si="1"/>
        <v>147556929.40000001</v>
      </c>
      <c r="H18" s="17">
        <f t="shared" si="2"/>
        <v>1475569294</v>
      </c>
      <c r="I18" s="17">
        <v>0</v>
      </c>
    </row>
    <row r="19" spans="1:9" x14ac:dyDescent="0.25">
      <c r="A19" s="9" t="str">
        <f t="shared" si="0"/>
        <v xml:space="preserve"> - </v>
      </c>
    </row>
    <row r="20" spans="1:9" x14ac:dyDescent="0.25">
      <c r="A20" s="9" t="str">
        <f t="shared" si="0"/>
        <v xml:space="preserve"> - </v>
      </c>
    </row>
    <row r="21" spans="1:9" x14ac:dyDescent="0.25">
      <c r="A21" s="9" t="str">
        <f t="shared" si="0"/>
        <v xml:space="preserve"> - </v>
      </c>
    </row>
    <row r="22" spans="1:9" x14ac:dyDescent="0.25">
      <c r="A22" s="9" t="str">
        <f t="shared" si="0"/>
        <v xml:space="preserve"> - </v>
      </c>
    </row>
    <row r="23" spans="1:9" x14ac:dyDescent="0.25">
      <c r="A23" s="9" t="str">
        <f t="shared" si="0"/>
        <v xml:space="preserve"> - </v>
      </c>
    </row>
    <row r="24" spans="1:9" x14ac:dyDescent="0.25">
      <c r="A24" s="9" t="str">
        <f t="shared" si="0"/>
        <v xml:space="preserve"> - </v>
      </c>
    </row>
    <row r="25" spans="1:9" x14ac:dyDescent="0.25">
      <c r="A25" s="9" t="str">
        <f t="shared" si="0"/>
        <v xml:space="preserve"> - </v>
      </c>
    </row>
    <row r="26" spans="1:9" x14ac:dyDescent="0.25">
      <c r="A26" s="9" t="str">
        <f t="shared" si="0"/>
        <v xml:space="preserve"> - </v>
      </c>
    </row>
    <row r="27" spans="1:9" x14ac:dyDescent="0.25">
      <c r="A27" s="9" t="str">
        <f t="shared" si="0"/>
        <v xml:space="preserve"> - </v>
      </c>
    </row>
    <row r="28" spans="1:9" x14ac:dyDescent="0.25">
      <c r="A28" s="9" t="str">
        <f t="shared" si="0"/>
        <v xml:space="preserve"> - </v>
      </c>
    </row>
    <row r="29" spans="1:9" x14ac:dyDescent="0.25">
      <c r="A29" s="9" t="str">
        <f t="shared" si="0"/>
        <v xml:space="preserve"> - </v>
      </c>
    </row>
    <row r="30" spans="1:9" x14ac:dyDescent="0.25">
      <c r="A30" s="9" t="str">
        <f t="shared" si="0"/>
        <v xml:space="preserve"> - </v>
      </c>
    </row>
    <row r="31" spans="1:9" x14ac:dyDescent="0.25">
      <c r="A31" s="9" t="str">
        <f t="shared" si="0"/>
        <v xml:space="preserve"> - </v>
      </c>
    </row>
    <row r="32" spans="1:9" x14ac:dyDescent="0.25">
      <c r="A32" s="9" t="str">
        <f t="shared" si="0"/>
        <v xml:space="preserve"> - </v>
      </c>
    </row>
    <row r="33" spans="1:9" x14ac:dyDescent="0.25">
      <c r="A33" s="9" t="str">
        <f t="shared" si="0"/>
        <v xml:space="preserve"> - </v>
      </c>
    </row>
    <row r="34" spans="1:9" x14ac:dyDescent="0.25">
      <c r="A34" s="9" t="str">
        <f t="shared" si="0"/>
        <v xml:space="preserve"> - </v>
      </c>
    </row>
    <row r="35" spans="1:9" x14ac:dyDescent="0.25">
      <c r="A35" s="9" t="str">
        <f t="shared" si="0"/>
        <v xml:space="preserve"> - </v>
      </c>
    </row>
    <row r="36" spans="1:9" x14ac:dyDescent="0.25">
      <c r="A36" s="9" t="str">
        <f t="shared" si="0"/>
        <v xml:space="preserve"> - </v>
      </c>
    </row>
    <row r="37" spans="1:9" x14ac:dyDescent="0.25">
      <c r="A37" s="9" t="str">
        <f t="shared" si="0"/>
        <v xml:space="preserve"> - </v>
      </c>
    </row>
    <row r="38" spans="1:9" x14ac:dyDescent="0.25">
      <c r="A38" s="9" t="str">
        <f t="shared" si="0"/>
        <v xml:space="preserve"> - </v>
      </c>
    </row>
    <row r="39" spans="1:9" x14ac:dyDescent="0.25">
      <c r="A39" s="9" t="str">
        <f t="shared" si="0"/>
        <v xml:space="preserve"> - </v>
      </c>
    </row>
    <row r="40" spans="1:9" x14ac:dyDescent="0.25">
      <c r="A40" s="9" t="str">
        <f t="shared" si="0"/>
        <v xml:space="preserve"> - </v>
      </c>
    </row>
    <row r="41" spans="1:9" x14ac:dyDescent="0.25">
      <c r="A41" s="9" t="str">
        <f t="shared" si="0"/>
        <v xml:space="preserve"> - </v>
      </c>
    </row>
    <row r="42" spans="1:9" x14ac:dyDescent="0.25">
      <c r="A42" s="9" t="str">
        <f t="shared" si="0"/>
        <v xml:space="preserve"> - </v>
      </c>
    </row>
    <row r="43" spans="1:9" x14ac:dyDescent="0.25">
      <c r="A43" s="9" t="str">
        <f t="shared" si="0"/>
        <v xml:space="preserve"> - </v>
      </c>
    </row>
    <row r="44" spans="1:9" x14ac:dyDescent="0.25">
      <c r="A44" s="9" t="str">
        <f t="shared" si="0"/>
        <v xml:space="preserve"> - </v>
      </c>
    </row>
    <row r="45" spans="1:9" x14ac:dyDescent="0.25">
      <c r="A45" s="9" t="str">
        <f t="shared" si="0"/>
        <v>PDV MARINA - Operación</v>
      </c>
      <c r="D45" s="12" t="s">
        <v>0</v>
      </c>
      <c r="E45" s="12" t="s">
        <v>13</v>
      </c>
      <c r="F45" s="17">
        <v>6443409802723</v>
      </c>
      <c r="G45" s="17">
        <f t="shared" ref="G45:G47" si="3">F45/$E$1</f>
        <v>644340980272.30005</v>
      </c>
      <c r="H45" s="17">
        <f t="shared" ref="H45:H47" si="4">F45-I45*$E$1</f>
        <v>6442772902723</v>
      </c>
      <c r="I45" s="17">
        <v>63690000</v>
      </c>
    </row>
    <row r="46" spans="1:9" x14ac:dyDescent="0.25">
      <c r="A46" s="9" t="str">
        <f t="shared" si="0"/>
        <v>PDV MARINA - OCyG</v>
      </c>
      <c r="D46" s="12" t="s">
        <v>0</v>
      </c>
      <c r="E46" s="12" t="s">
        <v>14</v>
      </c>
      <c r="F46" s="17">
        <v>1147197793</v>
      </c>
      <c r="G46" s="17">
        <f t="shared" si="3"/>
        <v>114719779.3</v>
      </c>
      <c r="H46" s="17">
        <f t="shared" si="4"/>
        <v>1147197793</v>
      </c>
      <c r="I46" s="17">
        <v>0</v>
      </c>
    </row>
    <row r="47" spans="1:9" x14ac:dyDescent="0.25">
      <c r="A47" s="9" t="str">
        <f t="shared" si="0"/>
        <v>PDV MARINA - Inversión</v>
      </c>
      <c r="D47" s="12" t="s">
        <v>0</v>
      </c>
      <c r="E47" s="12" t="s">
        <v>15</v>
      </c>
      <c r="F47" s="17">
        <v>0</v>
      </c>
      <c r="G47" s="17">
        <f t="shared" si="3"/>
        <v>0</v>
      </c>
      <c r="H47" s="17">
        <f t="shared" si="4"/>
        <v>0</v>
      </c>
      <c r="I47" s="17">
        <v>0</v>
      </c>
    </row>
    <row r="48" spans="1:9" x14ac:dyDescent="0.25">
      <c r="A48" s="9" t="str">
        <f t="shared" si="0"/>
        <v xml:space="preserve"> - </v>
      </c>
    </row>
    <row r="49" spans="1:1" x14ac:dyDescent="0.25">
      <c r="A49" s="9" t="str">
        <f t="shared" si="0"/>
        <v xml:space="preserve"> - </v>
      </c>
    </row>
    <row r="50" spans="1:1" x14ac:dyDescent="0.25">
      <c r="A50" s="9" t="str">
        <f t="shared" si="0"/>
        <v xml:space="preserve"> - </v>
      </c>
    </row>
    <row r="51" spans="1:1" x14ac:dyDescent="0.25">
      <c r="A51" s="9" t="str">
        <f t="shared" si="0"/>
        <v xml:space="preserve"> - </v>
      </c>
    </row>
    <row r="52" spans="1:1" x14ac:dyDescent="0.25">
      <c r="A52" s="9" t="str">
        <f t="shared" si="0"/>
        <v xml:space="preserve"> - </v>
      </c>
    </row>
    <row r="53" spans="1:1" x14ac:dyDescent="0.25">
      <c r="A53" s="9" t="str">
        <f t="shared" si="0"/>
        <v xml:space="preserve"> - </v>
      </c>
    </row>
    <row r="54" spans="1:1" x14ac:dyDescent="0.25">
      <c r="A54" s="9" t="str">
        <f t="shared" si="0"/>
        <v xml:space="preserve"> - </v>
      </c>
    </row>
    <row r="55" spans="1:1" x14ac:dyDescent="0.25">
      <c r="A55" s="9" t="str">
        <f t="shared" si="0"/>
        <v xml:space="preserve"> - </v>
      </c>
    </row>
    <row r="56" spans="1:1" x14ac:dyDescent="0.25">
      <c r="A56" s="9" t="str">
        <f t="shared" si="0"/>
        <v xml:space="preserve"> - </v>
      </c>
    </row>
    <row r="57" spans="1:1" x14ac:dyDescent="0.25">
      <c r="A57" s="9" t="str">
        <f t="shared" si="0"/>
        <v xml:space="preserve"> - </v>
      </c>
    </row>
    <row r="58" spans="1:1" x14ac:dyDescent="0.25">
      <c r="A58" s="9" t="str">
        <f t="shared" si="0"/>
        <v xml:space="preserve"> - </v>
      </c>
    </row>
    <row r="59" spans="1:1" x14ac:dyDescent="0.25">
      <c r="A59" s="9" t="str">
        <f t="shared" si="0"/>
        <v xml:space="preserve"> - </v>
      </c>
    </row>
    <row r="60" spans="1:1" x14ac:dyDescent="0.25">
      <c r="A60" s="9" t="str">
        <f t="shared" si="0"/>
        <v xml:space="preserve"> - </v>
      </c>
    </row>
    <row r="61" spans="1:1" x14ac:dyDescent="0.25">
      <c r="A61" s="9" t="str">
        <f t="shared" si="0"/>
        <v xml:space="preserve"> - </v>
      </c>
    </row>
    <row r="62" spans="1:1" x14ac:dyDescent="0.25">
      <c r="A62" s="9" t="str">
        <f t="shared" si="0"/>
        <v xml:space="preserve"> - </v>
      </c>
    </row>
    <row r="63" spans="1:1" x14ac:dyDescent="0.25">
      <c r="A63" s="9" t="str">
        <f t="shared" si="0"/>
        <v xml:space="preserve"> - </v>
      </c>
    </row>
    <row r="64" spans="1:1" x14ac:dyDescent="0.25">
      <c r="A64" s="9" t="str">
        <f t="shared" si="0"/>
        <v xml:space="preserve"> - </v>
      </c>
    </row>
    <row r="65" spans="1:9" x14ac:dyDescent="0.25">
      <c r="A65" s="9" t="str">
        <f t="shared" si="0"/>
        <v xml:space="preserve"> - </v>
      </c>
    </row>
    <row r="66" spans="1:9" x14ac:dyDescent="0.25">
      <c r="A66" s="9" t="str">
        <f t="shared" si="0"/>
        <v xml:space="preserve"> - </v>
      </c>
    </row>
    <row r="67" spans="1:9" x14ac:dyDescent="0.25">
      <c r="A67" s="9" t="str">
        <f t="shared" si="0"/>
        <v xml:space="preserve"> - </v>
      </c>
    </row>
    <row r="68" spans="1:9" x14ac:dyDescent="0.25">
      <c r="A68" s="9" t="str">
        <f t="shared" ref="A68:A131" si="5">D68&amp;" - "&amp;E68</f>
        <v xml:space="preserve"> - </v>
      </c>
    </row>
    <row r="69" spans="1:9" x14ac:dyDescent="0.25">
      <c r="A69" s="9" t="str">
        <f t="shared" si="5"/>
        <v xml:space="preserve"> - </v>
      </c>
    </row>
    <row r="70" spans="1:9" x14ac:dyDescent="0.25">
      <c r="A70" s="9" t="str">
        <f t="shared" si="5"/>
        <v xml:space="preserve"> - </v>
      </c>
    </row>
    <row r="71" spans="1:9" x14ac:dyDescent="0.25">
      <c r="A71" s="9" t="str">
        <f t="shared" si="5"/>
        <v xml:space="preserve"> - </v>
      </c>
    </row>
    <row r="72" spans="1:9" x14ac:dyDescent="0.25">
      <c r="A72" s="9" t="str">
        <f t="shared" si="5"/>
        <v xml:space="preserve"> - </v>
      </c>
    </row>
    <row r="73" spans="1:9" x14ac:dyDescent="0.25">
      <c r="A73" s="9" t="str">
        <f t="shared" si="5"/>
        <v xml:space="preserve"> - </v>
      </c>
    </row>
    <row r="74" spans="1:9" x14ac:dyDescent="0.25">
      <c r="A74" s="9" t="str">
        <f t="shared" si="5"/>
        <v xml:space="preserve"> - </v>
      </c>
    </row>
    <row r="75" spans="1:9" x14ac:dyDescent="0.25">
      <c r="A75" s="9" t="str">
        <f t="shared" si="5"/>
        <v xml:space="preserve"> - </v>
      </c>
    </row>
    <row r="76" spans="1:9" x14ac:dyDescent="0.25">
      <c r="A76" s="9" t="str">
        <f t="shared" si="5"/>
        <v xml:space="preserve"> - </v>
      </c>
    </row>
    <row r="77" spans="1:9" x14ac:dyDescent="0.25">
      <c r="A77" s="9" t="str">
        <f t="shared" si="5"/>
        <v>COMMERCHAMP - Operación</v>
      </c>
      <c r="D77" s="12" t="s">
        <v>1</v>
      </c>
      <c r="E77" s="12" t="s">
        <v>13</v>
      </c>
      <c r="F77" s="17">
        <v>840000000</v>
      </c>
      <c r="G77" s="17">
        <f t="shared" ref="G77:G78" si="6">F77/$E$1</f>
        <v>84000000</v>
      </c>
      <c r="H77" s="17">
        <f t="shared" ref="H77:H78" si="7">F77-I77*$E$1</f>
        <v>840000000</v>
      </c>
      <c r="I77" s="17">
        <v>0</v>
      </c>
    </row>
    <row r="78" spans="1:9" x14ac:dyDescent="0.25">
      <c r="A78" s="9" t="str">
        <f t="shared" si="5"/>
        <v>COMMERCHAMP - OCyG</v>
      </c>
      <c r="D78" s="12" t="s">
        <v>1</v>
      </c>
      <c r="E78" s="12" t="s">
        <v>14</v>
      </c>
      <c r="F78" s="17">
        <v>1662299238</v>
      </c>
      <c r="G78" s="17">
        <f t="shared" si="6"/>
        <v>166229923.80000001</v>
      </c>
      <c r="H78" s="17">
        <f t="shared" si="7"/>
        <v>1662299238</v>
      </c>
      <c r="I78" s="17">
        <v>0</v>
      </c>
    </row>
    <row r="79" spans="1:9" x14ac:dyDescent="0.25">
      <c r="A79" s="9" t="str">
        <f t="shared" si="5"/>
        <v xml:space="preserve"> - </v>
      </c>
    </row>
    <row r="80" spans="1:9" x14ac:dyDescent="0.25">
      <c r="A80" s="9" t="str">
        <f t="shared" si="5"/>
        <v xml:space="preserve"> - </v>
      </c>
    </row>
    <row r="81" spans="1:9" x14ac:dyDescent="0.25">
      <c r="A81" s="9" t="str">
        <f t="shared" si="5"/>
        <v xml:space="preserve"> - </v>
      </c>
    </row>
    <row r="82" spans="1:9" x14ac:dyDescent="0.25">
      <c r="A82" s="9" t="str">
        <f t="shared" si="5"/>
        <v xml:space="preserve"> - </v>
      </c>
    </row>
    <row r="83" spans="1:9" x14ac:dyDescent="0.25">
      <c r="A83" s="9" t="str">
        <f t="shared" si="5"/>
        <v xml:space="preserve"> - </v>
      </c>
    </row>
    <row r="84" spans="1:9" x14ac:dyDescent="0.25">
      <c r="A84" s="9" t="str">
        <f t="shared" si="5"/>
        <v xml:space="preserve"> - </v>
      </c>
    </row>
    <row r="85" spans="1:9" x14ac:dyDescent="0.25">
      <c r="A85" s="9" t="str">
        <f t="shared" si="5"/>
        <v xml:space="preserve"> - </v>
      </c>
    </row>
    <row r="86" spans="1:9" x14ac:dyDescent="0.25">
      <c r="A86" s="9" t="str">
        <f t="shared" si="5"/>
        <v xml:space="preserve"> - </v>
      </c>
    </row>
    <row r="87" spans="1:9" x14ac:dyDescent="0.25">
      <c r="A87" s="9" t="str">
        <f t="shared" si="5"/>
        <v xml:space="preserve"> - </v>
      </c>
    </row>
    <row r="88" spans="1:9" x14ac:dyDescent="0.25">
      <c r="A88" s="9" t="str">
        <f t="shared" si="5"/>
        <v xml:space="preserve"> - </v>
      </c>
    </row>
    <row r="89" spans="1:9" x14ac:dyDescent="0.25">
      <c r="A89" s="9" t="str">
        <f t="shared" si="5"/>
        <v xml:space="preserve"> - </v>
      </c>
    </row>
    <row r="90" spans="1:9" x14ac:dyDescent="0.25">
      <c r="A90" s="9" t="str">
        <f t="shared" si="5"/>
        <v xml:space="preserve"> - </v>
      </c>
    </row>
    <row r="91" spans="1:9" x14ac:dyDescent="0.25">
      <c r="A91" s="9" t="str">
        <f t="shared" si="5"/>
        <v xml:space="preserve"> - </v>
      </c>
    </row>
    <row r="92" spans="1:9" x14ac:dyDescent="0.25">
      <c r="A92" s="9" t="str">
        <f t="shared" si="5"/>
        <v xml:space="preserve"> - </v>
      </c>
    </row>
    <row r="93" spans="1:9" x14ac:dyDescent="0.25">
      <c r="A93" s="9" t="str">
        <f t="shared" si="5"/>
        <v>COMERCIO Y SUMINISTRO - Operación</v>
      </c>
      <c r="D93" s="12" t="s">
        <v>2</v>
      </c>
      <c r="E93" s="12" t="s">
        <v>13</v>
      </c>
      <c r="F93" s="17">
        <v>7528874000000</v>
      </c>
      <c r="G93" s="17">
        <f t="shared" ref="G93:G94" si="8">F93/$E$1</f>
        <v>752887400000</v>
      </c>
      <c r="H93" s="17">
        <f t="shared" ref="H93:H94" si="9">F93-I93*$E$1</f>
        <v>7522624000000</v>
      </c>
      <c r="I93" s="17">
        <v>625000000</v>
      </c>
    </row>
    <row r="94" spans="1:9" x14ac:dyDescent="0.25">
      <c r="A94" s="9" t="str">
        <f t="shared" si="5"/>
        <v>COMERCIO Y SUMINISTRO - OCyG</v>
      </c>
      <c r="D94" s="12" t="s">
        <v>2</v>
      </c>
      <c r="E94" s="12" t="s">
        <v>14</v>
      </c>
      <c r="F94" s="17">
        <v>341349637240</v>
      </c>
      <c r="G94" s="17">
        <f t="shared" si="8"/>
        <v>34134963724</v>
      </c>
      <c r="H94" s="17">
        <f t="shared" si="9"/>
        <v>131203116070</v>
      </c>
      <c r="I94" s="17">
        <v>21014652117</v>
      </c>
    </row>
    <row r="95" spans="1:9" x14ac:dyDescent="0.25">
      <c r="A95" s="9" t="str">
        <f t="shared" si="5"/>
        <v xml:space="preserve"> - </v>
      </c>
    </row>
    <row r="96" spans="1:9" x14ac:dyDescent="0.25">
      <c r="A96" s="9" t="str">
        <f t="shared" si="5"/>
        <v xml:space="preserve"> - </v>
      </c>
    </row>
    <row r="97" spans="1:1" x14ac:dyDescent="0.25">
      <c r="A97" s="9" t="str">
        <f t="shared" si="5"/>
        <v xml:space="preserve"> - </v>
      </c>
    </row>
    <row r="98" spans="1:1" x14ac:dyDescent="0.25">
      <c r="A98" s="9" t="str">
        <f t="shared" si="5"/>
        <v xml:space="preserve"> - </v>
      </c>
    </row>
    <row r="99" spans="1:1" x14ac:dyDescent="0.25">
      <c r="A99" s="9" t="str">
        <f t="shared" si="5"/>
        <v xml:space="preserve"> - </v>
      </c>
    </row>
    <row r="100" spans="1:1" x14ac:dyDescent="0.25">
      <c r="A100" s="9" t="str">
        <f t="shared" si="5"/>
        <v xml:space="preserve"> - </v>
      </c>
    </row>
    <row r="101" spans="1:1" x14ac:dyDescent="0.25">
      <c r="A101" s="9" t="str">
        <f t="shared" si="5"/>
        <v xml:space="preserve"> - </v>
      </c>
    </row>
    <row r="102" spans="1:1" x14ac:dyDescent="0.25">
      <c r="A102" s="9" t="str">
        <f t="shared" si="5"/>
        <v xml:space="preserve"> - </v>
      </c>
    </row>
    <row r="103" spans="1:1" x14ac:dyDescent="0.25">
      <c r="A103" s="9" t="str">
        <f t="shared" si="5"/>
        <v xml:space="preserve"> - </v>
      </c>
    </row>
    <row r="104" spans="1:1" x14ac:dyDescent="0.25">
      <c r="A104" s="9" t="str">
        <f t="shared" si="5"/>
        <v xml:space="preserve"> - </v>
      </c>
    </row>
    <row r="105" spans="1:1" x14ac:dyDescent="0.25">
      <c r="A105" s="9" t="str">
        <f t="shared" si="5"/>
        <v xml:space="preserve"> - </v>
      </c>
    </row>
    <row r="106" spans="1:1" x14ac:dyDescent="0.25">
      <c r="A106" s="9" t="str">
        <f t="shared" si="5"/>
        <v xml:space="preserve"> - </v>
      </c>
    </row>
    <row r="107" spans="1:1" x14ac:dyDescent="0.25">
      <c r="A107" s="9" t="str">
        <f t="shared" si="5"/>
        <v xml:space="preserve"> - </v>
      </c>
    </row>
    <row r="108" spans="1:1" x14ac:dyDescent="0.25">
      <c r="A108" s="9" t="str">
        <f t="shared" si="5"/>
        <v xml:space="preserve"> - </v>
      </c>
    </row>
    <row r="109" spans="1:1" x14ac:dyDescent="0.25">
      <c r="A109" s="9" t="str">
        <f t="shared" si="5"/>
        <v xml:space="preserve"> - </v>
      </c>
    </row>
    <row r="110" spans="1:1" x14ac:dyDescent="0.25">
      <c r="A110" s="9" t="str">
        <f t="shared" si="5"/>
        <v xml:space="preserve"> - </v>
      </c>
    </row>
    <row r="111" spans="1:1" x14ac:dyDescent="0.25">
      <c r="A111" s="9" t="str">
        <f t="shared" si="5"/>
        <v xml:space="preserve"> - </v>
      </c>
    </row>
    <row r="112" spans="1:1" x14ac:dyDescent="0.25">
      <c r="A112" s="9" t="str">
        <f t="shared" si="5"/>
        <v xml:space="preserve"> - </v>
      </c>
    </row>
    <row r="113" spans="1:9" x14ac:dyDescent="0.25">
      <c r="A113" s="9" t="str">
        <f t="shared" si="5"/>
        <v xml:space="preserve"> - </v>
      </c>
    </row>
    <row r="114" spans="1:9" x14ac:dyDescent="0.25">
      <c r="A114" s="9" t="str">
        <f t="shared" si="5"/>
        <v xml:space="preserve"> - </v>
      </c>
    </row>
    <row r="115" spans="1:9" x14ac:dyDescent="0.25">
      <c r="A115" s="9" t="str">
        <f t="shared" si="5"/>
        <v xml:space="preserve"> - </v>
      </c>
    </row>
    <row r="116" spans="1:9" x14ac:dyDescent="0.25">
      <c r="A116" s="9" t="str">
        <f t="shared" si="5"/>
        <v xml:space="preserve"> - </v>
      </c>
    </row>
    <row r="117" spans="1:9" x14ac:dyDescent="0.25">
      <c r="A117" s="9" t="str">
        <f t="shared" si="5"/>
        <v xml:space="preserve"> - </v>
      </c>
    </row>
    <row r="118" spans="1:9" x14ac:dyDescent="0.25">
      <c r="A118" s="9" t="str">
        <f t="shared" si="5"/>
        <v xml:space="preserve"> - </v>
      </c>
    </row>
    <row r="119" spans="1:9" x14ac:dyDescent="0.25">
      <c r="A119" s="9" t="str">
        <f t="shared" si="5"/>
        <v xml:space="preserve"> - </v>
      </c>
    </row>
    <row r="120" spans="1:9" x14ac:dyDescent="0.25">
      <c r="A120" s="9" t="str">
        <f t="shared" si="5"/>
        <v>MERCADO NACIONAL - Operación</v>
      </c>
      <c r="D120" s="12" t="s">
        <v>11</v>
      </c>
      <c r="E120" s="12" t="s">
        <v>13</v>
      </c>
      <c r="F120" s="17">
        <v>1124760000000</v>
      </c>
      <c r="G120" s="17">
        <f t="shared" ref="G120:G122" si="10">F120/$E$1</f>
        <v>112476000000</v>
      </c>
      <c r="H120" s="17">
        <f t="shared" ref="H120:H122" si="11">F120-I120*$E$1</f>
        <v>1124070000000</v>
      </c>
      <c r="I120" s="17">
        <v>69000000</v>
      </c>
    </row>
    <row r="121" spans="1:9" x14ac:dyDescent="0.25">
      <c r="A121" s="9" t="str">
        <f t="shared" si="5"/>
        <v>MERCADO NACIONAL - OCyG</v>
      </c>
      <c r="D121" s="12" t="s">
        <v>11</v>
      </c>
      <c r="E121" s="12" t="s">
        <v>14</v>
      </c>
      <c r="F121" s="17">
        <v>2337769646250</v>
      </c>
      <c r="G121" s="17">
        <f t="shared" si="10"/>
        <v>233776964625</v>
      </c>
      <c r="H121" s="17">
        <f t="shared" si="11"/>
        <v>2335727901600</v>
      </c>
      <c r="I121" s="17">
        <v>204174465</v>
      </c>
    </row>
    <row r="122" spans="1:9" x14ac:dyDescent="0.25">
      <c r="A122" s="9" t="str">
        <f t="shared" si="5"/>
        <v>MERCADO NACIONAL - Inversión</v>
      </c>
      <c r="D122" s="12" t="s">
        <v>11</v>
      </c>
      <c r="E122" s="12" t="s">
        <v>15</v>
      </c>
      <c r="F122" s="17">
        <v>18107573113</v>
      </c>
      <c r="G122" s="17">
        <f t="shared" si="10"/>
        <v>1810757311.3</v>
      </c>
      <c r="H122" s="17">
        <f t="shared" si="11"/>
        <v>17918695263</v>
      </c>
      <c r="I122" s="17">
        <v>18887785</v>
      </c>
    </row>
    <row r="123" spans="1:9" x14ac:dyDescent="0.25">
      <c r="A123" s="9" t="str">
        <f t="shared" si="5"/>
        <v xml:space="preserve"> - </v>
      </c>
    </row>
    <row r="124" spans="1:9" x14ac:dyDescent="0.25">
      <c r="A124" s="9" t="str">
        <f t="shared" si="5"/>
        <v xml:space="preserve"> - </v>
      </c>
    </row>
    <row r="125" spans="1:9" x14ac:dyDescent="0.25">
      <c r="A125" s="9" t="str">
        <f t="shared" si="5"/>
        <v xml:space="preserve"> - </v>
      </c>
    </row>
    <row r="126" spans="1:9" x14ac:dyDescent="0.25">
      <c r="A126" s="9" t="str">
        <f t="shared" si="5"/>
        <v xml:space="preserve"> - </v>
      </c>
    </row>
    <row r="127" spans="1:9" x14ac:dyDescent="0.25">
      <c r="A127" s="9" t="str">
        <f t="shared" si="5"/>
        <v xml:space="preserve"> - </v>
      </c>
    </row>
    <row r="128" spans="1:9" x14ac:dyDescent="0.25">
      <c r="A128" s="9" t="str">
        <f t="shared" si="5"/>
        <v xml:space="preserve"> - </v>
      </c>
    </row>
    <row r="129" spans="1:1" x14ac:dyDescent="0.25">
      <c r="A129" s="9" t="str">
        <f t="shared" si="5"/>
        <v xml:space="preserve"> - </v>
      </c>
    </row>
    <row r="130" spans="1:1" x14ac:dyDescent="0.25">
      <c r="A130" s="9" t="str">
        <f t="shared" si="5"/>
        <v xml:space="preserve"> - </v>
      </c>
    </row>
    <row r="131" spans="1:1" x14ac:dyDescent="0.25">
      <c r="A131" s="9" t="str">
        <f t="shared" si="5"/>
        <v xml:space="preserve"> - </v>
      </c>
    </row>
    <row r="132" spans="1:1" x14ac:dyDescent="0.25">
      <c r="A132" s="9" t="str">
        <f t="shared" ref="A132:A195" si="12">D132&amp;" - "&amp;E132</f>
        <v xml:space="preserve"> - </v>
      </c>
    </row>
    <row r="133" spans="1:1" x14ac:dyDescent="0.25">
      <c r="A133" s="9" t="str">
        <f t="shared" si="12"/>
        <v xml:space="preserve"> - </v>
      </c>
    </row>
    <row r="134" spans="1:1" x14ac:dyDescent="0.25">
      <c r="A134" s="9" t="str">
        <f t="shared" si="12"/>
        <v xml:space="preserve"> - </v>
      </c>
    </row>
    <row r="135" spans="1:1" x14ac:dyDescent="0.25">
      <c r="A135" s="9" t="str">
        <f t="shared" si="12"/>
        <v xml:space="preserve"> - </v>
      </c>
    </row>
    <row r="136" spans="1:1" x14ac:dyDescent="0.25">
      <c r="A136" s="9" t="str">
        <f t="shared" si="12"/>
        <v xml:space="preserve"> - </v>
      </c>
    </row>
    <row r="137" spans="1:1" x14ac:dyDescent="0.25">
      <c r="A137" s="9" t="str">
        <f t="shared" si="12"/>
        <v xml:space="preserve"> - </v>
      </c>
    </row>
    <row r="138" spans="1:1" x14ac:dyDescent="0.25">
      <c r="A138" s="9" t="str">
        <f t="shared" si="12"/>
        <v xml:space="preserve"> - </v>
      </c>
    </row>
    <row r="139" spans="1:1" x14ac:dyDescent="0.25">
      <c r="A139" s="9" t="str">
        <f t="shared" si="12"/>
        <v xml:space="preserve"> - </v>
      </c>
    </row>
    <row r="140" spans="1:1" x14ac:dyDescent="0.25">
      <c r="A140" s="9" t="str">
        <f t="shared" si="12"/>
        <v xml:space="preserve"> - </v>
      </c>
    </row>
    <row r="141" spans="1:1" x14ac:dyDescent="0.25">
      <c r="A141" s="9" t="str">
        <f t="shared" si="12"/>
        <v xml:space="preserve"> - </v>
      </c>
    </row>
    <row r="142" spans="1:1" x14ac:dyDescent="0.25">
      <c r="A142" s="9" t="str">
        <f t="shared" si="12"/>
        <v xml:space="preserve"> - </v>
      </c>
    </row>
    <row r="143" spans="1:1" x14ac:dyDescent="0.25">
      <c r="A143" s="9" t="str">
        <f t="shared" si="12"/>
        <v xml:space="preserve"> - </v>
      </c>
    </row>
    <row r="144" spans="1:1" x14ac:dyDescent="0.25">
      <c r="A144" s="9" t="str">
        <f t="shared" si="12"/>
        <v xml:space="preserve"> - </v>
      </c>
    </row>
    <row r="145" spans="1:9" x14ac:dyDescent="0.25">
      <c r="A145" s="9" t="str">
        <f t="shared" si="12"/>
        <v xml:space="preserve"> - </v>
      </c>
    </row>
    <row r="146" spans="1:9" x14ac:dyDescent="0.25">
      <c r="A146" s="9" t="str">
        <f t="shared" si="12"/>
        <v xml:space="preserve"> - </v>
      </c>
    </row>
    <row r="147" spans="1:9" x14ac:dyDescent="0.25">
      <c r="A147" s="9" t="str">
        <f t="shared" si="12"/>
        <v xml:space="preserve"> - </v>
      </c>
    </row>
    <row r="148" spans="1:9" x14ac:dyDescent="0.25">
      <c r="A148" s="9" t="str">
        <f t="shared" si="12"/>
        <v xml:space="preserve"> - </v>
      </c>
    </row>
    <row r="149" spans="1:9" x14ac:dyDescent="0.25">
      <c r="A149" s="9" t="str">
        <f t="shared" si="12"/>
        <v xml:space="preserve"> - </v>
      </c>
    </row>
    <row r="150" spans="1:9" x14ac:dyDescent="0.25">
      <c r="A150" s="9" t="str">
        <f t="shared" si="12"/>
        <v xml:space="preserve"> - </v>
      </c>
    </row>
    <row r="151" spans="1:9" x14ac:dyDescent="0.25">
      <c r="A151" s="9" t="str">
        <f t="shared" si="12"/>
        <v xml:space="preserve"> - </v>
      </c>
    </row>
    <row r="152" spans="1:9" x14ac:dyDescent="0.25">
      <c r="A152" s="9" t="str">
        <f t="shared" si="12"/>
        <v xml:space="preserve"> - </v>
      </c>
    </row>
    <row r="153" spans="1:9" x14ac:dyDescent="0.25">
      <c r="A153" s="9" t="str">
        <f t="shared" si="12"/>
        <v xml:space="preserve"> - </v>
      </c>
    </row>
    <row r="154" spans="1:9" x14ac:dyDescent="0.25">
      <c r="A154" s="9" t="str">
        <f t="shared" si="12"/>
        <v xml:space="preserve"> - </v>
      </c>
    </row>
    <row r="155" spans="1:9" x14ac:dyDescent="0.25">
      <c r="A155" s="9" t="str">
        <f t="shared" si="12"/>
        <v xml:space="preserve"> - </v>
      </c>
    </row>
    <row r="156" spans="1:9" x14ac:dyDescent="0.25">
      <c r="A156" s="9" t="str">
        <f t="shared" si="12"/>
        <v>ENT - Operación</v>
      </c>
      <c r="D156" s="12" t="s">
        <v>3</v>
      </c>
      <c r="E156" s="12" t="s">
        <v>13</v>
      </c>
      <c r="F156" s="17">
        <v>3020064891841</v>
      </c>
      <c r="G156" s="17">
        <f t="shared" ref="G156:G158" si="13">F156/$E$1</f>
        <v>302006489184.09998</v>
      </c>
      <c r="H156" s="17">
        <f t="shared" ref="H156:H158" si="14">F156-I156*$E$1</f>
        <v>3020064891841</v>
      </c>
      <c r="I156" s="17">
        <v>0</v>
      </c>
    </row>
    <row r="157" spans="1:9" x14ac:dyDescent="0.25">
      <c r="A157" s="9" t="str">
        <f t="shared" si="12"/>
        <v>ENT - OCyG</v>
      </c>
      <c r="D157" s="12" t="s">
        <v>3</v>
      </c>
      <c r="E157" s="12" t="s">
        <v>14</v>
      </c>
      <c r="F157" s="17">
        <v>93849201610</v>
      </c>
      <c r="G157" s="17">
        <f t="shared" si="13"/>
        <v>9384920161</v>
      </c>
      <c r="H157" s="17">
        <f t="shared" si="14"/>
        <v>93849201610</v>
      </c>
      <c r="I157" s="17">
        <v>0</v>
      </c>
    </row>
    <row r="158" spans="1:9" x14ac:dyDescent="0.25">
      <c r="A158" s="9" t="str">
        <f t="shared" si="12"/>
        <v>ENT - Inversión</v>
      </c>
      <c r="D158" s="12" t="s">
        <v>3</v>
      </c>
      <c r="E158" s="12" t="s">
        <v>15</v>
      </c>
      <c r="F158" s="17">
        <v>72130690000</v>
      </c>
      <c r="G158" s="17">
        <f t="shared" si="13"/>
        <v>7213069000</v>
      </c>
      <c r="H158" s="17">
        <f t="shared" si="14"/>
        <v>71980690000</v>
      </c>
      <c r="I158" s="17">
        <v>15000000</v>
      </c>
    </row>
    <row r="159" spans="1:9" x14ac:dyDescent="0.25">
      <c r="A159" s="9" t="str">
        <f t="shared" si="12"/>
        <v xml:space="preserve"> - </v>
      </c>
    </row>
    <row r="160" spans="1:9" x14ac:dyDescent="0.25">
      <c r="A160" s="9" t="str">
        <f t="shared" si="12"/>
        <v xml:space="preserve"> - </v>
      </c>
    </row>
    <row r="161" spans="1:1" x14ac:dyDescent="0.25">
      <c r="A161" s="9" t="str">
        <f t="shared" si="12"/>
        <v xml:space="preserve"> - </v>
      </c>
    </row>
    <row r="162" spans="1:1" x14ac:dyDescent="0.25">
      <c r="A162" s="9" t="str">
        <f t="shared" si="12"/>
        <v xml:space="preserve"> - </v>
      </c>
    </row>
    <row r="163" spans="1:1" x14ac:dyDescent="0.25">
      <c r="A163" s="9" t="str">
        <f t="shared" si="12"/>
        <v xml:space="preserve"> - </v>
      </c>
    </row>
    <row r="164" spans="1:1" x14ac:dyDescent="0.25">
      <c r="A164" s="9" t="str">
        <f t="shared" si="12"/>
        <v xml:space="preserve"> - </v>
      </c>
    </row>
    <row r="165" spans="1:1" x14ac:dyDescent="0.25">
      <c r="A165" s="9" t="str">
        <f t="shared" si="12"/>
        <v xml:space="preserve"> - </v>
      </c>
    </row>
    <row r="166" spans="1:1" x14ac:dyDescent="0.25">
      <c r="A166" s="9" t="str">
        <f t="shared" si="12"/>
        <v xml:space="preserve"> - </v>
      </c>
    </row>
    <row r="167" spans="1:1" x14ac:dyDescent="0.25">
      <c r="A167" s="9" t="str">
        <f t="shared" si="12"/>
        <v xml:space="preserve"> - </v>
      </c>
    </row>
    <row r="168" spans="1:1" x14ac:dyDescent="0.25">
      <c r="A168" s="9" t="str">
        <f t="shared" si="12"/>
        <v xml:space="preserve"> - </v>
      </c>
    </row>
    <row r="169" spans="1:1" x14ac:dyDescent="0.25">
      <c r="A169" s="9" t="str">
        <f t="shared" si="12"/>
        <v xml:space="preserve"> - </v>
      </c>
    </row>
    <row r="170" spans="1:1" x14ac:dyDescent="0.25">
      <c r="A170" s="9" t="str">
        <f t="shared" si="12"/>
        <v xml:space="preserve"> - </v>
      </c>
    </row>
    <row r="171" spans="1:1" x14ac:dyDescent="0.25">
      <c r="A171" s="9" t="str">
        <f t="shared" si="12"/>
        <v xml:space="preserve"> - </v>
      </c>
    </row>
    <row r="172" spans="1:1" x14ac:dyDescent="0.25">
      <c r="A172" s="9" t="str">
        <f t="shared" si="12"/>
        <v xml:space="preserve"> - </v>
      </c>
    </row>
    <row r="173" spans="1:1" x14ac:dyDescent="0.25">
      <c r="A173" s="9" t="str">
        <f t="shared" si="12"/>
        <v xml:space="preserve"> - </v>
      </c>
    </row>
    <row r="174" spans="1:1" x14ac:dyDescent="0.25">
      <c r="A174" s="9" t="str">
        <f t="shared" si="12"/>
        <v xml:space="preserve"> - </v>
      </c>
    </row>
    <row r="175" spans="1:1" x14ac:dyDescent="0.25">
      <c r="A175" s="9" t="str">
        <f t="shared" si="12"/>
        <v xml:space="preserve"> - </v>
      </c>
    </row>
    <row r="176" spans="1:1" x14ac:dyDescent="0.25">
      <c r="A176" s="9" t="str">
        <f t="shared" si="12"/>
        <v xml:space="preserve"> - </v>
      </c>
    </row>
    <row r="177" spans="1:1" x14ac:dyDescent="0.25">
      <c r="A177" s="9" t="str">
        <f t="shared" si="12"/>
        <v xml:space="preserve"> - </v>
      </c>
    </row>
    <row r="178" spans="1:1" x14ac:dyDescent="0.25">
      <c r="A178" s="9" t="str">
        <f t="shared" si="12"/>
        <v xml:space="preserve"> - </v>
      </c>
    </row>
    <row r="179" spans="1:1" x14ac:dyDescent="0.25">
      <c r="A179" s="9" t="str">
        <f t="shared" si="12"/>
        <v xml:space="preserve"> - </v>
      </c>
    </row>
    <row r="180" spans="1:1" x14ac:dyDescent="0.25">
      <c r="A180" s="9" t="str">
        <f t="shared" si="12"/>
        <v xml:space="preserve"> - </v>
      </c>
    </row>
    <row r="181" spans="1:1" x14ac:dyDescent="0.25">
      <c r="A181" s="9" t="str">
        <f t="shared" si="12"/>
        <v xml:space="preserve"> - </v>
      </c>
    </row>
    <row r="182" spans="1:1" x14ac:dyDescent="0.25">
      <c r="A182" s="9" t="str">
        <f t="shared" si="12"/>
        <v xml:space="preserve"> - </v>
      </c>
    </row>
    <row r="183" spans="1:1" x14ac:dyDescent="0.25">
      <c r="A183" s="9" t="str">
        <f t="shared" si="12"/>
        <v xml:space="preserve"> - </v>
      </c>
    </row>
    <row r="184" spans="1:1" x14ac:dyDescent="0.25">
      <c r="A184" s="9" t="str">
        <f t="shared" si="12"/>
        <v xml:space="preserve"> - </v>
      </c>
    </row>
    <row r="185" spans="1:1" x14ac:dyDescent="0.25">
      <c r="A185" s="9" t="str">
        <f t="shared" si="12"/>
        <v xml:space="preserve"> - </v>
      </c>
    </row>
    <row r="186" spans="1:1" x14ac:dyDescent="0.25">
      <c r="A186" s="9" t="str">
        <f t="shared" si="12"/>
        <v xml:space="preserve"> - </v>
      </c>
    </row>
    <row r="187" spans="1:1" x14ac:dyDescent="0.25">
      <c r="A187" s="9" t="str">
        <f t="shared" si="12"/>
        <v xml:space="preserve"> - </v>
      </c>
    </row>
    <row r="188" spans="1:1" x14ac:dyDescent="0.25">
      <c r="A188" s="9" t="str">
        <f t="shared" si="12"/>
        <v xml:space="preserve"> - </v>
      </c>
    </row>
    <row r="189" spans="1:1" x14ac:dyDescent="0.25">
      <c r="A189" s="9" t="str">
        <f t="shared" si="12"/>
        <v xml:space="preserve"> - </v>
      </c>
    </row>
    <row r="190" spans="1:1" x14ac:dyDescent="0.25">
      <c r="A190" s="9" t="str">
        <f t="shared" si="12"/>
        <v xml:space="preserve"> - </v>
      </c>
    </row>
    <row r="191" spans="1:1" x14ac:dyDescent="0.25">
      <c r="A191" s="9" t="str">
        <f t="shared" si="12"/>
        <v xml:space="preserve"> - </v>
      </c>
    </row>
    <row r="192" spans="1:1" x14ac:dyDescent="0.25">
      <c r="A192" s="9" t="str">
        <f t="shared" si="12"/>
        <v xml:space="preserve"> - </v>
      </c>
    </row>
    <row r="193" spans="1:1" x14ac:dyDescent="0.25">
      <c r="A193" s="9" t="str">
        <f t="shared" si="12"/>
        <v xml:space="preserve"> - </v>
      </c>
    </row>
    <row r="194" spans="1:1" x14ac:dyDescent="0.25">
      <c r="A194" s="9" t="str">
        <f t="shared" si="12"/>
        <v xml:space="preserve"> - </v>
      </c>
    </row>
    <row r="195" spans="1:1" x14ac:dyDescent="0.25">
      <c r="A195" s="9" t="str">
        <f t="shared" si="12"/>
        <v xml:space="preserve"> - </v>
      </c>
    </row>
    <row r="196" spans="1:1" x14ac:dyDescent="0.25">
      <c r="A196" s="9" t="str">
        <f t="shared" ref="A196:A200" si="15">D196&amp;" - "&amp;E196</f>
        <v xml:space="preserve"> - </v>
      </c>
    </row>
    <row r="197" spans="1:1" x14ac:dyDescent="0.25">
      <c r="A197" s="9" t="str">
        <f t="shared" si="15"/>
        <v xml:space="preserve"> - </v>
      </c>
    </row>
    <row r="198" spans="1:1" x14ac:dyDescent="0.25">
      <c r="A198" s="9" t="str">
        <f t="shared" si="15"/>
        <v xml:space="preserve"> - </v>
      </c>
    </row>
    <row r="199" spans="1:1" x14ac:dyDescent="0.25">
      <c r="A199" s="9" t="str">
        <f t="shared" si="15"/>
        <v xml:space="preserve"> - </v>
      </c>
    </row>
    <row r="200" spans="1:1" x14ac:dyDescent="0.25">
      <c r="A200" s="9" t="str">
        <f t="shared" si="15"/>
        <v xml:space="preserve"> - </v>
      </c>
    </row>
  </sheetData>
  <dataValidations count="2">
    <dataValidation type="list" allowBlank="1" showInputMessage="1" showErrorMessage="1" sqref="D3:D1048576">
      <formula1>NegocioFilial</formula1>
    </dataValidation>
    <dataValidation type="list" allowBlank="1" showInputMessage="1" showErrorMessage="1" sqref="E3:E1048576">
      <formula1>Presupuesto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00"/>
  <sheetViews>
    <sheetView workbookViewId="0">
      <pane xSplit="4" ySplit="2" topLeftCell="E62" activePane="bottomRight" state="frozen"/>
      <selection pane="topRight" activeCell="D1" sqref="D1"/>
      <selection pane="bottomLeft" activeCell="A2" sqref="A2"/>
      <selection pane="bottomRight" activeCell="H75" sqref="H75"/>
    </sheetView>
  </sheetViews>
  <sheetFormatPr baseColWidth="10" defaultColWidth="9.140625" defaultRowHeight="11.25" x14ac:dyDescent="0.25"/>
  <cols>
    <col min="1" max="1" width="16.85546875" style="9" hidden="1" customWidth="1"/>
    <col min="2" max="2" width="55.5703125" style="12" customWidth="1"/>
    <col min="3" max="3" width="1.7109375" style="12" customWidth="1"/>
    <col min="4" max="4" width="17.5703125" style="12" bestFit="1" customWidth="1"/>
    <col min="5" max="5" width="16.140625" style="12" customWidth="1"/>
    <col min="6" max="6" width="16.7109375" style="17" bestFit="1" customWidth="1"/>
    <col min="7" max="7" width="15.7109375" style="17" customWidth="1"/>
    <col min="8" max="8" width="16.7109375" style="17" bestFit="1" customWidth="1"/>
    <col min="9" max="9" width="15.7109375" style="17" customWidth="1"/>
    <col min="10" max="11" width="9.140625" style="12"/>
    <col min="12" max="12" width="19" style="17" bestFit="1" customWidth="1"/>
    <col min="13" max="16384" width="9.140625" style="12"/>
  </cols>
  <sheetData>
    <row r="1" spans="1:9" x14ac:dyDescent="0.25">
      <c r="D1" s="5" t="s">
        <v>16</v>
      </c>
      <c r="E1" s="17">
        <v>10</v>
      </c>
    </row>
    <row r="2" spans="1:9" x14ac:dyDescent="0.25">
      <c r="A2" s="10" t="s">
        <v>27</v>
      </c>
      <c r="B2" s="2" t="s">
        <v>4</v>
      </c>
      <c r="D2" s="2" t="s">
        <v>9</v>
      </c>
      <c r="E2" s="2" t="s">
        <v>12</v>
      </c>
      <c r="F2" s="4" t="s">
        <v>5</v>
      </c>
      <c r="G2" s="4" t="s">
        <v>6</v>
      </c>
      <c r="H2" s="4" t="s">
        <v>7</v>
      </c>
      <c r="I2" s="4" t="s">
        <v>8</v>
      </c>
    </row>
    <row r="3" spans="1:9" x14ac:dyDescent="0.25">
      <c r="A3" s="9" t="str">
        <f>D3&amp;" - "&amp;E3</f>
        <v>MERCADO NACIONAL - Operación</v>
      </c>
      <c r="D3" s="12" t="s">
        <v>11</v>
      </c>
      <c r="E3" s="12" t="s">
        <v>13</v>
      </c>
      <c r="F3" s="17">
        <v>646697518434</v>
      </c>
      <c r="G3" s="17">
        <f>F3/$E$1</f>
        <v>64669751843.400002</v>
      </c>
      <c r="H3" s="17">
        <f>F3-I3*$E$1</f>
        <v>645523000004</v>
      </c>
      <c r="I3" s="17">
        <v>117451843</v>
      </c>
    </row>
    <row r="4" spans="1:9" x14ac:dyDescent="0.25">
      <c r="A4" s="9" t="str">
        <f t="shared" ref="A4:A67" si="0">D4&amp;" - "&amp;E4</f>
        <v>MERCADO NACIONAL - OCyG</v>
      </c>
      <c r="D4" s="12" t="s">
        <v>11</v>
      </c>
      <c r="E4" s="12" t="s">
        <v>14</v>
      </c>
      <c r="F4" s="17">
        <v>15993850000</v>
      </c>
      <c r="G4" s="17">
        <f t="shared" ref="G4:G5" si="1">F4/$E$1</f>
        <v>1599385000</v>
      </c>
      <c r="H4" s="17">
        <f t="shared" ref="H4:H5" si="2">F4-I4*$E$1</f>
        <v>14313850000</v>
      </c>
      <c r="I4" s="17">
        <v>168000000</v>
      </c>
    </row>
    <row r="5" spans="1:9" x14ac:dyDescent="0.25">
      <c r="A5" s="9" t="str">
        <f t="shared" si="0"/>
        <v>MERCADO NACIONAL - Inversión</v>
      </c>
      <c r="D5" s="12" t="s">
        <v>11</v>
      </c>
      <c r="E5" s="12" t="s">
        <v>15</v>
      </c>
      <c r="F5" s="17">
        <v>3439930000</v>
      </c>
      <c r="G5" s="17">
        <f t="shared" si="1"/>
        <v>343993000</v>
      </c>
      <c r="H5" s="17">
        <f t="shared" si="2"/>
        <v>2786930000</v>
      </c>
      <c r="I5" s="17">
        <v>65300000</v>
      </c>
    </row>
    <row r="6" spans="1:9" x14ac:dyDescent="0.25">
      <c r="A6" s="9" t="str">
        <f t="shared" si="0"/>
        <v xml:space="preserve"> - </v>
      </c>
    </row>
    <row r="7" spans="1:9" x14ac:dyDescent="0.25">
      <c r="A7" s="9" t="str">
        <f t="shared" si="0"/>
        <v xml:space="preserve"> - </v>
      </c>
    </row>
    <row r="8" spans="1:9" x14ac:dyDescent="0.25">
      <c r="A8" s="9" t="str">
        <f t="shared" si="0"/>
        <v xml:space="preserve"> - </v>
      </c>
    </row>
    <row r="9" spans="1:9" x14ac:dyDescent="0.25">
      <c r="A9" s="9" t="str">
        <f t="shared" si="0"/>
        <v xml:space="preserve"> - </v>
      </c>
    </row>
    <row r="10" spans="1:9" x14ac:dyDescent="0.25">
      <c r="A10" s="9" t="str">
        <f t="shared" si="0"/>
        <v xml:space="preserve"> - </v>
      </c>
    </row>
    <row r="11" spans="1:9" x14ac:dyDescent="0.25">
      <c r="A11" s="9" t="str">
        <f t="shared" si="0"/>
        <v xml:space="preserve"> - </v>
      </c>
    </row>
    <row r="12" spans="1:9" x14ac:dyDescent="0.25">
      <c r="A12" s="9" t="str">
        <f t="shared" si="0"/>
        <v xml:space="preserve"> - </v>
      </c>
    </row>
    <row r="13" spans="1:9" x14ac:dyDescent="0.25">
      <c r="A13" s="9" t="str">
        <f t="shared" si="0"/>
        <v xml:space="preserve"> - </v>
      </c>
    </row>
    <row r="14" spans="1:9" x14ac:dyDescent="0.25">
      <c r="A14" s="9" t="str">
        <f t="shared" si="0"/>
        <v xml:space="preserve"> - </v>
      </c>
    </row>
    <row r="15" spans="1:9" x14ac:dyDescent="0.25">
      <c r="A15" s="9" t="str">
        <f t="shared" si="0"/>
        <v xml:space="preserve"> - </v>
      </c>
    </row>
    <row r="16" spans="1:9" x14ac:dyDescent="0.25">
      <c r="A16" s="9" t="str">
        <f t="shared" si="0"/>
        <v xml:space="preserve"> - </v>
      </c>
    </row>
    <row r="17" spans="1:1" x14ac:dyDescent="0.25">
      <c r="A17" s="9" t="str">
        <f t="shared" si="0"/>
        <v xml:space="preserve"> - </v>
      </c>
    </row>
    <row r="18" spans="1:1" x14ac:dyDescent="0.25">
      <c r="A18" s="9" t="str">
        <f t="shared" si="0"/>
        <v xml:space="preserve"> - </v>
      </c>
    </row>
    <row r="19" spans="1:1" x14ac:dyDescent="0.25">
      <c r="A19" s="9" t="str">
        <f t="shared" si="0"/>
        <v xml:space="preserve"> - </v>
      </c>
    </row>
    <row r="20" spans="1:1" x14ac:dyDescent="0.25">
      <c r="A20" s="9" t="str">
        <f t="shared" si="0"/>
        <v xml:space="preserve"> - </v>
      </c>
    </row>
    <row r="21" spans="1:1" x14ac:dyDescent="0.25">
      <c r="A21" s="9" t="str">
        <f t="shared" si="0"/>
        <v xml:space="preserve"> - </v>
      </c>
    </row>
    <row r="22" spans="1:1" x14ac:dyDescent="0.25">
      <c r="A22" s="9" t="str">
        <f t="shared" si="0"/>
        <v xml:space="preserve"> - </v>
      </c>
    </row>
    <row r="23" spans="1:1" x14ac:dyDescent="0.25">
      <c r="A23" s="9" t="str">
        <f t="shared" si="0"/>
        <v xml:space="preserve"> - </v>
      </c>
    </row>
    <row r="24" spans="1:1" x14ac:dyDescent="0.25">
      <c r="A24" s="9" t="str">
        <f t="shared" si="0"/>
        <v xml:space="preserve"> - </v>
      </c>
    </row>
    <row r="25" spans="1:1" x14ac:dyDescent="0.25">
      <c r="A25" s="9" t="str">
        <f t="shared" si="0"/>
        <v xml:space="preserve"> - </v>
      </c>
    </row>
    <row r="26" spans="1:1" x14ac:dyDescent="0.25">
      <c r="A26" s="9" t="str">
        <f t="shared" si="0"/>
        <v xml:space="preserve"> - </v>
      </c>
    </row>
    <row r="27" spans="1:1" x14ac:dyDescent="0.25">
      <c r="A27" s="9" t="str">
        <f t="shared" si="0"/>
        <v xml:space="preserve"> - </v>
      </c>
    </row>
    <row r="28" spans="1:1" x14ac:dyDescent="0.25">
      <c r="A28" s="9" t="str">
        <f t="shared" si="0"/>
        <v xml:space="preserve"> - </v>
      </c>
    </row>
    <row r="29" spans="1:1" x14ac:dyDescent="0.25">
      <c r="A29" s="9" t="str">
        <f t="shared" si="0"/>
        <v xml:space="preserve"> - </v>
      </c>
    </row>
    <row r="30" spans="1:1" x14ac:dyDescent="0.25">
      <c r="A30" s="9" t="str">
        <f t="shared" si="0"/>
        <v xml:space="preserve"> - </v>
      </c>
    </row>
    <row r="31" spans="1:1" x14ac:dyDescent="0.25">
      <c r="A31" s="9" t="str">
        <f t="shared" si="0"/>
        <v xml:space="preserve"> - </v>
      </c>
    </row>
    <row r="32" spans="1:1" x14ac:dyDescent="0.25">
      <c r="A32" s="9" t="str">
        <f t="shared" si="0"/>
        <v xml:space="preserve"> - </v>
      </c>
    </row>
    <row r="33" spans="1:9" x14ac:dyDescent="0.25">
      <c r="A33" s="9" t="str">
        <f t="shared" si="0"/>
        <v xml:space="preserve"> - </v>
      </c>
    </row>
    <row r="34" spans="1:9" x14ac:dyDescent="0.25">
      <c r="A34" s="9" t="str">
        <f t="shared" si="0"/>
        <v xml:space="preserve"> - </v>
      </c>
    </row>
    <row r="35" spans="1:9" x14ac:dyDescent="0.25">
      <c r="A35" s="9" t="str">
        <f t="shared" si="0"/>
        <v xml:space="preserve"> - </v>
      </c>
    </row>
    <row r="36" spans="1:9" x14ac:dyDescent="0.25">
      <c r="A36" s="9" t="str">
        <f t="shared" si="0"/>
        <v xml:space="preserve"> - </v>
      </c>
    </row>
    <row r="37" spans="1:9" x14ac:dyDescent="0.25">
      <c r="A37" s="9" t="str">
        <f t="shared" si="0"/>
        <v xml:space="preserve"> - </v>
      </c>
    </row>
    <row r="38" spans="1:9" x14ac:dyDescent="0.25">
      <c r="A38" s="9" t="str">
        <f t="shared" si="0"/>
        <v>COMERCIO Y SUMINISTRO - Operación</v>
      </c>
      <c r="D38" s="12" t="s">
        <v>2</v>
      </c>
      <c r="E38" s="12" t="s">
        <v>13</v>
      </c>
      <c r="F38" s="17">
        <v>93854131331</v>
      </c>
      <c r="G38" s="17">
        <f t="shared" ref="G38:G39" si="3">F38/$E$1</f>
        <v>9385413133.1000004</v>
      </c>
      <c r="H38" s="17">
        <f t="shared" ref="H38:H39" si="4">F38-I38*$E$1</f>
        <v>83009575881</v>
      </c>
      <c r="I38" s="17">
        <v>1084455545</v>
      </c>
    </row>
    <row r="39" spans="1:9" x14ac:dyDescent="0.25">
      <c r="A39" s="9" t="str">
        <f t="shared" si="0"/>
        <v>COMERCIO Y SUMINISTRO - OCyG</v>
      </c>
      <c r="D39" s="12" t="s">
        <v>2</v>
      </c>
      <c r="E39" s="12" t="s">
        <v>14</v>
      </c>
      <c r="F39" s="17">
        <v>255192229725</v>
      </c>
      <c r="G39" s="17">
        <f t="shared" si="3"/>
        <v>25519222972.5</v>
      </c>
      <c r="H39" s="17">
        <f t="shared" si="4"/>
        <v>50896838955</v>
      </c>
      <c r="I39" s="17">
        <v>20429539077</v>
      </c>
    </row>
    <row r="40" spans="1:9" x14ac:dyDescent="0.25">
      <c r="A40" s="9" t="str">
        <f t="shared" si="0"/>
        <v xml:space="preserve"> - </v>
      </c>
    </row>
    <row r="41" spans="1:9" x14ac:dyDescent="0.25">
      <c r="A41" s="9" t="str">
        <f t="shared" si="0"/>
        <v xml:space="preserve"> - </v>
      </c>
    </row>
    <row r="42" spans="1:9" x14ac:dyDescent="0.25">
      <c r="A42" s="9" t="str">
        <f t="shared" si="0"/>
        <v xml:space="preserve"> - </v>
      </c>
    </row>
    <row r="43" spans="1:9" x14ac:dyDescent="0.25">
      <c r="A43" s="9" t="str">
        <f t="shared" si="0"/>
        <v xml:space="preserve"> - </v>
      </c>
    </row>
    <row r="44" spans="1:9" x14ac:dyDescent="0.25">
      <c r="A44" s="9" t="str">
        <f t="shared" si="0"/>
        <v xml:space="preserve"> - </v>
      </c>
    </row>
    <row r="45" spans="1:9" x14ac:dyDescent="0.25">
      <c r="A45" s="9" t="str">
        <f t="shared" si="0"/>
        <v xml:space="preserve"> - </v>
      </c>
    </row>
    <row r="46" spans="1:9" x14ac:dyDescent="0.25">
      <c r="A46" s="9" t="str">
        <f t="shared" si="0"/>
        <v xml:space="preserve"> - </v>
      </c>
    </row>
    <row r="47" spans="1:9" x14ac:dyDescent="0.25">
      <c r="A47" s="9" t="str">
        <f t="shared" si="0"/>
        <v xml:space="preserve"> - </v>
      </c>
    </row>
    <row r="48" spans="1:9" x14ac:dyDescent="0.25">
      <c r="A48" s="9" t="str">
        <f t="shared" si="0"/>
        <v xml:space="preserve"> - </v>
      </c>
    </row>
    <row r="49" spans="1:1" x14ac:dyDescent="0.25">
      <c r="A49" s="9" t="str">
        <f t="shared" si="0"/>
        <v xml:space="preserve"> - </v>
      </c>
    </row>
    <row r="50" spans="1:1" x14ac:dyDescent="0.25">
      <c r="A50" s="9" t="str">
        <f t="shared" si="0"/>
        <v xml:space="preserve"> - </v>
      </c>
    </row>
    <row r="51" spans="1:1" x14ac:dyDescent="0.25">
      <c r="A51" s="9" t="str">
        <f t="shared" si="0"/>
        <v xml:space="preserve"> - </v>
      </c>
    </row>
    <row r="52" spans="1:1" x14ac:dyDescent="0.25">
      <c r="A52" s="9" t="str">
        <f t="shared" si="0"/>
        <v xml:space="preserve"> - </v>
      </c>
    </row>
    <row r="53" spans="1:1" x14ac:dyDescent="0.25">
      <c r="A53" s="9" t="str">
        <f t="shared" si="0"/>
        <v xml:space="preserve"> - </v>
      </c>
    </row>
    <row r="54" spans="1:1" x14ac:dyDescent="0.25">
      <c r="A54" s="9" t="str">
        <f t="shared" si="0"/>
        <v xml:space="preserve"> - </v>
      </c>
    </row>
    <row r="55" spans="1:1" x14ac:dyDescent="0.25">
      <c r="A55" s="9" t="str">
        <f t="shared" si="0"/>
        <v xml:space="preserve"> - </v>
      </c>
    </row>
    <row r="56" spans="1:1" x14ac:dyDescent="0.25">
      <c r="A56" s="9" t="str">
        <f t="shared" si="0"/>
        <v xml:space="preserve"> - </v>
      </c>
    </row>
    <row r="57" spans="1:1" x14ac:dyDescent="0.25">
      <c r="A57" s="9" t="str">
        <f t="shared" si="0"/>
        <v xml:space="preserve"> - </v>
      </c>
    </row>
    <row r="58" spans="1:1" x14ac:dyDescent="0.25">
      <c r="A58" s="9" t="str">
        <f t="shared" si="0"/>
        <v xml:space="preserve"> - </v>
      </c>
    </row>
    <row r="59" spans="1:1" x14ac:dyDescent="0.25">
      <c r="A59" s="9" t="str">
        <f t="shared" si="0"/>
        <v xml:space="preserve"> - </v>
      </c>
    </row>
    <row r="60" spans="1:1" x14ac:dyDescent="0.25">
      <c r="A60" s="9" t="str">
        <f t="shared" si="0"/>
        <v xml:space="preserve"> - </v>
      </c>
    </row>
    <row r="61" spans="1:1" x14ac:dyDescent="0.25">
      <c r="A61" s="9" t="str">
        <f t="shared" si="0"/>
        <v xml:space="preserve"> - </v>
      </c>
    </row>
    <row r="62" spans="1:1" x14ac:dyDescent="0.25">
      <c r="A62" s="9" t="str">
        <f t="shared" si="0"/>
        <v xml:space="preserve"> - </v>
      </c>
    </row>
    <row r="63" spans="1:1" x14ac:dyDescent="0.25">
      <c r="A63" s="9" t="str">
        <f t="shared" si="0"/>
        <v xml:space="preserve"> - </v>
      </c>
    </row>
    <row r="64" spans="1:1" x14ac:dyDescent="0.25">
      <c r="A64" s="9" t="str">
        <f t="shared" si="0"/>
        <v xml:space="preserve"> - </v>
      </c>
    </row>
    <row r="65" spans="1:9" x14ac:dyDescent="0.25">
      <c r="A65" s="9" t="str">
        <f t="shared" si="0"/>
        <v>ENT - Operación</v>
      </c>
      <c r="D65" s="12" t="s">
        <v>3</v>
      </c>
      <c r="E65" s="12" t="s">
        <v>13</v>
      </c>
      <c r="F65" s="17">
        <v>1206361911363</v>
      </c>
      <c r="G65" s="17">
        <f>F65/$E$1</f>
        <v>120636191136.3</v>
      </c>
      <c r="H65" s="17">
        <f t="shared" ref="H65:H67" si="5">F65-I65*$E$1</f>
        <v>1206079125783</v>
      </c>
      <c r="I65" s="17">
        <v>28278558</v>
      </c>
    </row>
    <row r="66" spans="1:9" x14ac:dyDescent="0.25">
      <c r="A66" s="9" t="str">
        <f t="shared" si="0"/>
        <v>ENT - OCyG</v>
      </c>
      <c r="D66" s="12" t="s">
        <v>3</v>
      </c>
      <c r="E66" s="12" t="s">
        <v>14</v>
      </c>
      <c r="F66" s="17">
        <v>93651794206</v>
      </c>
      <c r="G66" s="17">
        <f t="shared" ref="G66:G67" si="6">F66/$E$1</f>
        <v>9365179420.6000004</v>
      </c>
      <c r="H66" s="17">
        <f t="shared" si="5"/>
        <v>93651794206</v>
      </c>
      <c r="I66" s="17">
        <v>0</v>
      </c>
    </row>
    <row r="67" spans="1:9" x14ac:dyDescent="0.25">
      <c r="A67" s="9" t="str">
        <f t="shared" si="0"/>
        <v>ENT - Inversión</v>
      </c>
      <c r="D67" s="12" t="s">
        <v>3</v>
      </c>
      <c r="E67" s="12" t="s">
        <v>15</v>
      </c>
      <c r="F67" s="17">
        <v>72689391342</v>
      </c>
      <c r="G67" s="17">
        <f t="shared" si="6"/>
        <v>7268939134.1999998</v>
      </c>
      <c r="H67" s="17">
        <f t="shared" si="5"/>
        <v>71980691342</v>
      </c>
      <c r="I67" s="17">
        <v>70870000</v>
      </c>
    </row>
    <row r="68" spans="1:9" x14ac:dyDescent="0.25">
      <c r="A68" s="9" t="str">
        <f t="shared" ref="A68:A131" si="7">D68&amp;" - "&amp;E68</f>
        <v xml:space="preserve"> - </v>
      </c>
    </row>
    <row r="69" spans="1:9" x14ac:dyDescent="0.25">
      <c r="A69" s="9" t="str">
        <f t="shared" si="7"/>
        <v xml:space="preserve"> - </v>
      </c>
    </row>
    <row r="70" spans="1:9" x14ac:dyDescent="0.25">
      <c r="A70" s="9" t="str">
        <f t="shared" si="7"/>
        <v xml:space="preserve"> - </v>
      </c>
    </row>
    <row r="71" spans="1:9" x14ac:dyDescent="0.25">
      <c r="A71" s="9" t="str">
        <f t="shared" si="7"/>
        <v xml:space="preserve"> - </v>
      </c>
    </row>
    <row r="72" spans="1:9" x14ac:dyDescent="0.25">
      <c r="A72" s="9" t="str">
        <f t="shared" si="7"/>
        <v xml:space="preserve"> - </v>
      </c>
    </row>
    <row r="73" spans="1:9" x14ac:dyDescent="0.25">
      <c r="A73" s="9" t="str">
        <f t="shared" si="7"/>
        <v xml:space="preserve"> - </v>
      </c>
    </row>
    <row r="74" spans="1:9" x14ac:dyDescent="0.25">
      <c r="A74" s="9" t="str">
        <f t="shared" si="7"/>
        <v xml:space="preserve"> - </v>
      </c>
    </row>
    <row r="75" spans="1:9" x14ac:dyDescent="0.25">
      <c r="A75" s="9" t="str">
        <f t="shared" si="7"/>
        <v xml:space="preserve"> - </v>
      </c>
    </row>
    <row r="76" spans="1:9" x14ac:dyDescent="0.25">
      <c r="A76" s="9" t="str">
        <f t="shared" si="7"/>
        <v xml:space="preserve"> - </v>
      </c>
    </row>
    <row r="77" spans="1:9" x14ac:dyDescent="0.25">
      <c r="A77" s="9" t="str">
        <f t="shared" si="7"/>
        <v xml:space="preserve"> - </v>
      </c>
    </row>
    <row r="78" spans="1:9" x14ac:dyDescent="0.25">
      <c r="A78" s="9" t="str">
        <f t="shared" si="7"/>
        <v xml:space="preserve"> - </v>
      </c>
    </row>
    <row r="79" spans="1:9" x14ac:dyDescent="0.25">
      <c r="A79" s="9" t="str">
        <f t="shared" si="7"/>
        <v xml:space="preserve"> - </v>
      </c>
    </row>
    <row r="80" spans="1:9" x14ac:dyDescent="0.25">
      <c r="A80" s="9" t="str">
        <f t="shared" si="7"/>
        <v xml:space="preserve"> - </v>
      </c>
    </row>
    <row r="81" spans="1:9" x14ac:dyDescent="0.25">
      <c r="A81" s="9" t="str">
        <f t="shared" si="7"/>
        <v xml:space="preserve"> - </v>
      </c>
    </row>
    <row r="82" spans="1:9" x14ac:dyDescent="0.25">
      <c r="A82" s="9" t="str">
        <f t="shared" si="7"/>
        <v xml:space="preserve"> - </v>
      </c>
    </row>
    <row r="83" spans="1:9" x14ac:dyDescent="0.25">
      <c r="A83" s="9" t="str">
        <f t="shared" si="7"/>
        <v xml:space="preserve"> - </v>
      </c>
    </row>
    <row r="84" spans="1:9" x14ac:dyDescent="0.25">
      <c r="A84" s="9" t="str">
        <f t="shared" si="7"/>
        <v xml:space="preserve"> - </v>
      </c>
    </row>
    <row r="85" spans="1:9" x14ac:dyDescent="0.25">
      <c r="A85" s="9" t="str">
        <f t="shared" si="7"/>
        <v xml:space="preserve"> - </v>
      </c>
    </row>
    <row r="86" spans="1:9" x14ac:dyDescent="0.25">
      <c r="A86" s="9" t="str">
        <f t="shared" si="7"/>
        <v xml:space="preserve"> - </v>
      </c>
    </row>
    <row r="87" spans="1:9" x14ac:dyDescent="0.25">
      <c r="A87" s="9" t="str">
        <f t="shared" si="7"/>
        <v xml:space="preserve"> - </v>
      </c>
    </row>
    <row r="88" spans="1:9" x14ac:dyDescent="0.25">
      <c r="A88" s="9" t="str">
        <f t="shared" si="7"/>
        <v xml:space="preserve"> - </v>
      </c>
    </row>
    <row r="89" spans="1:9" x14ac:dyDescent="0.25">
      <c r="A89" s="9" t="str">
        <f t="shared" si="7"/>
        <v xml:space="preserve"> - </v>
      </c>
    </row>
    <row r="90" spans="1:9" x14ac:dyDescent="0.25">
      <c r="A90" s="9" t="str">
        <f t="shared" si="7"/>
        <v xml:space="preserve"> - </v>
      </c>
    </row>
    <row r="91" spans="1:9" x14ac:dyDescent="0.25">
      <c r="A91" s="9" t="str">
        <f t="shared" si="7"/>
        <v xml:space="preserve"> - </v>
      </c>
    </row>
    <row r="92" spans="1:9" x14ac:dyDescent="0.25">
      <c r="A92" s="9" t="str">
        <f t="shared" si="7"/>
        <v xml:space="preserve"> - </v>
      </c>
    </row>
    <row r="93" spans="1:9" x14ac:dyDescent="0.25">
      <c r="A93" s="9" t="str">
        <f t="shared" si="7"/>
        <v>COMERCIT - Operación</v>
      </c>
      <c r="D93" s="12" t="s">
        <v>18</v>
      </c>
      <c r="E93" s="12" t="s">
        <v>13</v>
      </c>
      <c r="F93" s="17">
        <v>90383147</v>
      </c>
      <c r="G93" s="17">
        <f t="shared" ref="G93:G94" si="8">F93/$E$1</f>
        <v>9038314.6999999993</v>
      </c>
      <c r="H93" s="17">
        <f t="shared" ref="H93:H94" si="9">F93-I93*$E$1</f>
        <v>-3</v>
      </c>
      <c r="I93" s="17">
        <v>9038315</v>
      </c>
    </row>
    <row r="94" spans="1:9" x14ac:dyDescent="0.25">
      <c r="A94" s="9" t="str">
        <f t="shared" si="7"/>
        <v>COMERCIT - OCyG</v>
      </c>
      <c r="D94" s="12" t="s">
        <v>18</v>
      </c>
      <c r="E94" s="12" t="s">
        <v>14</v>
      </c>
      <c r="F94" s="17">
        <v>1469000000</v>
      </c>
      <c r="G94" s="17">
        <f t="shared" si="8"/>
        <v>146900000</v>
      </c>
      <c r="H94" s="17">
        <f t="shared" si="9"/>
        <v>39000000</v>
      </c>
      <c r="I94" s="17">
        <v>143000000</v>
      </c>
    </row>
    <row r="95" spans="1:9" x14ac:dyDescent="0.25">
      <c r="A95" s="9" t="str">
        <f t="shared" si="7"/>
        <v xml:space="preserve"> - </v>
      </c>
    </row>
    <row r="96" spans="1:9" x14ac:dyDescent="0.25">
      <c r="A96" s="9" t="str">
        <f t="shared" si="7"/>
        <v xml:space="preserve"> - </v>
      </c>
    </row>
    <row r="97" spans="1:1" x14ac:dyDescent="0.25">
      <c r="A97" s="9" t="str">
        <f t="shared" si="7"/>
        <v xml:space="preserve"> - </v>
      </c>
    </row>
    <row r="98" spans="1:1" x14ac:dyDescent="0.25">
      <c r="A98" s="9" t="str">
        <f t="shared" si="7"/>
        <v xml:space="preserve"> - </v>
      </c>
    </row>
    <row r="99" spans="1:1" x14ac:dyDescent="0.25">
      <c r="A99" s="9" t="str">
        <f t="shared" si="7"/>
        <v xml:space="preserve"> - </v>
      </c>
    </row>
    <row r="100" spans="1:1" x14ac:dyDescent="0.25">
      <c r="A100" s="9" t="str">
        <f t="shared" si="7"/>
        <v xml:space="preserve"> - </v>
      </c>
    </row>
    <row r="101" spans="1:1" x14ac:dyDescent="0.25">
      <c r="A101" s="9" t="str">
        <f t="shared" si="7"/>
        <v xml:space="preserve"> - </v>
      </c>
    </row>
    <row r="102" spans="1:1" x14ac:dyDescent="0.25">
      <c r="A102" s="9" t="str">
        <f t="shared" si="7"/>
        <v xml:space="preserve"> - </v>
      </c>
    </row>
    <row r="103" spans="1:1" x14ac:dyDescent="0.25">
      <c r="A103" s="9" t="str">
        <f t="shared" si="7"/>
        <v xml:space="preserve"> - </v>
      </c>
    </row>
    <row r="104" spans="1:1" x14ac:dyDescent="0.25">
      <c r="A104" s="9" t="str">
        <f t="shared" si="7"/>
        <v xml:space="preserve"> - </v>
      </c>
    </row>
    <row r="105" spans="1:1" x14ac:dyDescent="0.25">
      <c r="A105" s="9" t="str">
        <f t="shared" si="7"/>
        <v xml:space="preserve"> - </v>
      </c>
    </row>
    <row r="106" spans="1:1" x14ac:dyDescent="0.25">
      <c r="A106" s="9" t="str">
        <f t="shared" si="7"/>
        <v xml:space="preserve"> - </v>
      </c>
    </row>
    <row r="107" spans="1:1" x14ac:dyDescent="0.25">
      <c r="A107" s="9" t="str">
        <f t="shared" si="7"/>
        <v xml:space="preserve"> - </v>
      </c>
    </row>
    <row r="108" spans="1:1" x14ac:dyDescent="0.25">
      <c r="A108" s="9" t="str">
        <f t="shared" si="7"/>
        <v xml:space="preserve"> - </v>
      </c>
    </row>
    <row r="109" spans="1:1" x14ac:dyDescent="0.25">
      <c r="A109" s="9" t="str">
        <f t="shared" si="7"/>
        <v xml:space="preserve"> - </v>
      </c>
    </row>
    <row r="110" spans="1:1" x14ac:dyDescent="0.25">
      <c r="A110" s="9" t="str">
        <f t="shared" si="7"/>
        <v xml:space="preserve"> - </v>
      </c>
    </row>
    <row r="111" spans="1:1" x14ac:dyDescent="0.25">
      <c r="A111" s="9" t="str">
        <f t="shared" si="7"/>
        <v xml:space="preserve"> - </v>
      </c>
    </row>
    <row r="112" spans="1:1" x14ac:dyDescent="0.25">
      <c r="A112" s="9" t="str">
        <f t="shared" si="7"/>
        <v xml:space="preserve"> - </v>
      </c>
    </row>
    <row r="113" spans="1:9" x14ac:dyDescent="0.25">
      <c r="A113" s="9" t="str">
        <f t="shared" si="7"/>
        <v xml:space="preserve"> - </v>
      </c>
    </row>
    <row r="114" spans="1:9" x14ac:dyDescent="0.25">
      <c r="A114" s="9" t="str">
        <f t="shared" si="7"/>
        <v xml:space="preserve"> - </v>
      </c>
    </row>
    <row r="115" spans="1:9" x14ac:dyDescent="0.25">
      <c r="A115" s="9" t="str">
        <f t="shared" si="7"/>
        <v xml:space="preserve"> - </v>
      </c>
    </row>
    <row r="116" spans="1:9" x14ac:dyDescent="0.25">
      <c r="A116" s="9" t="str">
        <f t="shared" si="7"/>
        <v xml:space="preserve"> - </v>
      </c>
    </row>
    <row r="117" spans="1:9" x14ac:dyDescent="0.25">
      <c r="A117" s="9" t="str">
        <f t="shared" si="7"/>
        <v xml:space="preserve"> - </v>
      </c>
    </row>
    <row r="118" spans="1:9" x14ac:dyDescent="0.25">
      <c r="A118" s="9" t="str">
        <f t="shared" si="7"/>
        <v xml:space="preserve"> - </v>
      </c>
    </row>
    <row r="119" spans="1:9" x14ac:dyDescent="0.25">
      <c r="A119" s="9" t="str">
        <f t="shared" si="7"/>
        <v>PDV MARINA - Operación</v>
      </c>
      <c r="D119" s="12" t="s">
        <v>0</v>
      </c>
      <c r="E119" s="12" t="s">
        <v>13</v>
      </c>
      <c r="F119" s="17">
        <v>542853337048</v>
      </c>
      <c r="G119" s="17">
        <f t="shared" ref="G119:G121" si="10">F119/$E$1</f>
        <v>54285333704.800003</v>
      </c>
      <c r="H119" s="17">
        <f t="shared" ref="H119:H121" si="11">F119-I119*$E$1</f>
        <v>530803337048</v>
      </c>
      <c r="I119" s="17">
        <v>1205000000</v>
      </c>
    </row>
    <row r="120" spans="1:9" x14ac:dyDescent="0.25">
      <c r="A120" s="9" t="str">
        <f t="shared" si="7"/>
        <v>PDV MARINA - OCyG</v>
      </c>
      <c r="D120" s="12" t="s">
        <v>0</v>
      </c>
      <c r="E120" s="12" t="s">
        <v>14</v>
      </c>
      <c r="F120" s="17">
        <v>687299926</v>
      </c>
      <c r="G120" s="17">
        <f t="shared" si="10"/>
        <v>68729992.599999994</v>
      </c>
      <c r="H120" s="17">
        <f t="shared" si="11"/>
        <v>687299926</v>
      </c>
      <c r="I120" s="17">
        <v>0</v>
      </c>
    </row>
    <row r="121" spans="1:9" x14ac:dyDescent="0.25">
      <c r="A121" s="9" t="str">
        <f t="shared" si="7"/>
        <v>PDV MARINA - Inversión</v>
      </c>
      <c r="D121" s="12" t="s">
        <v>0</v>
      </c>
      <c r="E121" s="12" t="s">
        <v>15</v>
      </c>
      <c r="F121" s="17">
        <v>0</v>
      </c>
      <c r="G121" s="17">
        <f t="shared" si="10"/>
        <v>0</v>
      </c>
      <c r="H121" s="17">
        <f t="shared" si="11"/>
        <v>0</v>
      </c>
      <c r="I121" s="17">
        <v>0</v>
      </c>
    </row>
    <row r="122" spans="1:9" x14ac:dyDescent="0.25">
      <c r="A122" s="9" t="str">
        <f t="shared" si="7"/>
        <v xml:space="preserve"> - </v>
      </c>
    </row>
    <row r="123" spans="1:9" x14ac:dyDescent="0.25">
      <c r="A123" s="9" t="str">
        <f t="shared" si="7"/>
        <v xml:space="preserve"> - </v>
      </c>
    </row>
    <row r="124" spans="1:9" x14ac:dyDescent="0.25">
      <c r="A124" s="9" t="str">
        <f t="shared" si="7"/>
        <v xml:space="preserve"> - </v>
      </c>
    </row>
    <row r="125" spans="1:9" x14ac:dyDescent="0.25">
      <c r="A125" s="9" t="str">
        <f t="shared" si="7"/>
        <v xml:space="preserve"> - </v>
      </c>
    </row>
    <row r="126" spans="1:9" x14ac:dyDescent="0.25">
      <c r="A126" s="9" t="str">
        <f t="shared" si="7"/>
        <v xml:space="preserve"> - </v>
      </c>
    </row>
    <row r="127" spans="1:9" x14ac:dyDescent="0.25">
      <c r="A127" s="9" t="str">
        <f t="shared" si="7"/>
        <v xml:space="preserve"> - </v>
      </c>
    </row>
    <row r="128" spans="1:9" x14ac:dyDescent="0.25">
      <c r="A128" s="9" t="str">
        <f t="shared" si="7"/>
        <v xml:space="preserve"> - </v>
      </c>
    </row>
    <row r="129" spans="1:1" x14ac:dyDescent="0.25">
      <c r="A129" s="9" t="str">
        <f t="shared" si="7"/>
        <v xml:space="preserve"> - </v>
      </c>
    </row>
    <row r="130" spans="1:1" x14ac:dyDescent="0.25">
      <c r="A130" s="9" t="str">
        <f t="shared" si="7"/>
        <v xml:space="preserve"> - </v>
      </c>
    </row>
    <row r="131" spans="1:1" x14ac:dyDescent="0.25">
      <c r="A131" s="9" t="str">
        <f t="shared" si="7"/>
        <v xml:space="preserve"> - </v>
      </c>
    </row>
    <row r="132" spans="1:1" x14ac:dyDescent="0.25">
      <c r="A132" s="9" t="str">
        <f t="shared" ref="A132:A195" si="12">D132&amp;" - "&amp;E132</f>
        <v xml:space="preserve"> - </v>
      </c>
    </row>
    <row r="133" spans="1:1" x14ac:dyDescent="0.25">
      <c r="A133" s="9" t="str">
        <f t="shared" si="12"/>
        <v xml:space="preserve"> - </v>
      </c>
    </row>
    <row r="134" spans="1:1" x14ac:dyDescent="0.25">
      <c r="A134" s="9" t="str">
        <f t="shared" si="12"/>
        <v xml:space="preserve"> - </v>
      </c>
    </row>
    <row r="135" spans="1:1" x14ac:dyDescent="0.25">
      <c r="A135" s="9" t="str">
        <f t="shared" si="12"/>
        <v xml:space="preserve"> - </v>
      </c>
    </row>
    <row r="136" spans="1:1" x14ac:dyDescent="0.25">
      <c r="A136" s="9" t="str">
        <f t="shared" si="12"/>
        <v xml:space="preserve"> - </v>
      </c>
    </row>
    <row r="137" spans="1:1" x14ac:dyDescent="0.25">
      <c r="A137" s="9" t="str">
        <f t="shared" si="12"/>
        <v xml:space="preserve"> - </v>
      </c>
    </row>
    <row r="138" spans="1:1" x14ac:dyDescent="0.25">
      <c r="A138" s="9" t="str">
        <f t="shared" si="12"/>
        <v xml:space="preserve"> - </v>
      </c>
    </row>
    <row r="139" spans="1:1" x14ac:dyDescent="0.25">
      <c r="A139" s="9" t="str">
        <f t="shared" si="12"/>
        <v xml:space="preserve"> - </v>
      </c>
    </row>
    <row r="140" spans="1:1" x14ac:dyDescent="0.25">
      <c r="A140" s="9" t="str">
        <f t="shared" si="12"/>
        <v xml:space="preserve"> - </v>
      </c>
    </row>
    <row r="141" spans="1:1" x14ac:dyDescent="0.25">
      <c r="A141" s="9" t="str">
        <f t="shared" si="12"/>
        <v xml:space="preserve"> - </v>
      </c>
    </row>
    <row r="142" spans="1:1" x14ac:dyDescent="0.25">
      <c r="A142" s="9" t="str">
        <f t="shared" si="12"/>
        <v xml:space="preserve"> - </v>
      </c>
    </row>
    <row r="143" spans="1:1" x14ac:dyDescent="0.25">
      <c r="A143" s="9" t="str">
        <f t="shared" si="12"/>
        <v xml:space="preserve"> - </v>
      </c>
    </row>
    <row r="144" spans="1:1" x14ac:dyDescent="0.25">
      <c r="A144" s="9" t="str">
        <f t="shared" si="12"/>
        <v xml:space="preserve"> - </v>
      </c>
    </row>
    <row r="145" spans="1:9" x14ac:dyDescent="0.25">
      <c r="A145" s="9" t="str">
        <f t="shared" si="12"/>
        <v xml:space="preserve"> - </v>
      </c>
    </row>
    <row r="146" spans="1:9" x14ac:dyDescent="0.25">
      <c r="A146" s="9" t="str">
        <f t="shared" si="12"/>
        <v xml:space="preserve"> - </v>
      </c>
    </row>
    <row r="147" spans="1:9" x14ac:dyDescent="0.25">
      <c r="A147" s="9" t="str">
        <f t="shared" si="12"/>
        <v xml:space="preserve"> - </v>
      </c>
    </row>
    <row r="148" spans="1:9" x14ac:dyDescent="0.25">
      <c r="A148" s="9" t="str">
        <f t="shared" si="12"/>
        <v>COMMERCHAMP - Operación</v>
      </c>
      <c r="D148" s="12" t="s">
        <v>1</v>
      </c>
      <c r="E148" s="12" t="s">
        <v>13</v>
      </c>
      <c r="F148" s="17">
        <v>237332467</v>
      </c>
      <c r="G148" s="17">
        <f t="shared" ref="G148:G149" si="13">F148/$E$1</f>
        <v>23733246.699999999</v>
      </c>
      <c r="H148" s="17">
        <f t="shared" ref="H148:H149" si="14">F148-I148*$E$1</f>
        <v>237332467</v>
      </c>
      <c r="I148" s="17">
        <v>0</v>
      </c>
    </row>
    <row r="149" spans="1:9" x14ac:dyDescent="0.25">
      <c r="A149" s="9" t="str">
        <f t="shared" si="12"/>
        <v>COMMERCHAMP - OCyG</v>
      </c>
      <c r="D149" s="12" t="s">
        <v>1</v>
      </c>
      <c r="E149" s="12" t="s">
        <v>14</v>
      </c>
      <c r="F149" s="17">
        <v>1662299238</v>
      </c>
      <c r="G149" s="17">
        <f t="shared" si="13"/>
        <v>166229923.80000001</v>
      </c>
      <c r="H149" s="17">
        <f t="shared" si="14"/>
        <v>1662299238</v>
      </c>
      <c r="I149" s="17">
        <v>0</v>
      </c>
    </row>
    <row r="150" spans="1:9" x14ac:dyDescent="0.25">
      <c r="A150" s="9" t="str">
        <f t="shared" si="12"/>
        <v xml:space="preserve"> - </v>
      </c>
    </row>
    <row r="151" spans="1:9" x14ac:dyDescent="0.25">
      <c r="A151" s="9" t="str">
        <f t="shared" si="12"/>
        <v xml:space="preserve"> - </v>
      </c>
    </row>
    <row r="152" spans="1:9" x14ac:dyDescent="0.25">
      <c r="A152" s="9" t="str">
        <f t="shared" si="12"/>
        <v xml:space="preserve"> - </v>
      </c>
    </row>
    <row r="153" spans="1:9" x14ac:dyDescent="0.25">
      <c r="A153" s="9" t="str">
        <f t="shared" si="12"/>
        <v xml:space="preserve"> - </v>
      </c>
    </row>
    <row r="154" spans="1:9" x14ac:dyDescent="0.25">
      <c r="A154" s="9" t="str">
        <f t="shared" si="12"/>
        <v xml:space="preserve"> - </v>
      </c>
    </row>
    <row r="155" spans="1:9" x14ac:dyDescent="0.25">
      <c r="A155" s="9" t="str">
        <f t="shared" si="12"/>
        <v xml:space="preserve"> - </v>
      </c>
    </row>
    <row r="156" spans="1:9" x14ac:dyDescent="0.25">
      <c r="A156" s="9" t="str">
        <f t="shared" si="12"/>
        <v xml:space="preserve"> - </v>
      </c>
    </row>
    <row r="157" spans="1:9" x14ac:dyDescent="0.25">
      <c r="A157" s="9" t="str">
        <f t="shared" si="12"/>
        <v xml:space="preserve"> - </v>
      </c>
    </row>
    <row r="158" spans="1:9" x14ac:dyDescent="0.25">
      <c r="A158" s="9" t="str">
        <f t="shared" si="12"/>
        <v xml:space="preserve"> - </v>
      </c>
    </row>
    <row r="159" spans="1:9" x14ac:dyDescent="0.25">
      <c r="A159" s="9" t="str">
        <f t="shared" si="12"/>
        <v xml:space="preserve"> - </v>
      </c>
    </row>
    <row r="160" spans="1:9" x14ac:dyDescent="0.25">
      <c r="A160" s="9" t="str">
        <f t="shared" si="12"/>
        <v xml:space="preserve"> - </v>
      </c>
    </row>
    <row r="161" spans="1:1" x14ac:dyDescent="0.25">
      <c r="A161" s="9" t="str">
        <f t="shared" si="12"/>
        <v xml:space="preserve"> - </v>
      </c>
    </row>
    <row r="162" spans="1:1" x14ac:dyDescent="0.25">
      <c r="A162" s="9" t="str">
        <f t="shared" si="12"/>
        <v xml:space="preserve"> - </v>
      </c>
    </row>
    <row r="163" spans="1:1" x14ac:dyDescent="0.25">
      <c r="A163" s="9" t="str">
        <f t="shared" si="12"/>
        <v xml:space="preserve"> - </v>
      </c>
    </row>
    <row r="164" spans="1:1" x14ac:dyDescent="0.25">
      <c r="A164" s="9" t="str">
        <f t="shared" si="12"/>
        <v xml:space="preserve"> - </v>
      </c>
    </row>
    <row r="165" spans="1:1" x14ac:dyDescent="0.25">
      <c r="A165" s="9" t="str">
        <f t="shared" si="12"/>
        <v xml:space="preserve"> - </v>
      </c>
    </row>
    <row r="166" spans="1:1" x14ac:dyDescent="0.25">
      <c r="A166" s="9" t="str">
        <f t="shared" si="12"/>
        <v xml:space="preserve"> - </v>
      </c>
    </row>
    <row r="167" spans="1:1" x14ac:dyDescent="0.25">
      <c r="A167" s="9" t="str">
        <f t="shared" si="12"/>
        <v xml:space="preserve"> - </v>
      </c>
    </row>
    <row r="168" spans="1:1" x14ac:dyDescent="0.25">
      <c r="A168" s="9" t="str">
        <f t="shared" si="12"/>
        <v xml:space="preserve"> - </v>
      </c>
    </row>
    <row r="169" spans="1:1" x14ac:dyDescent="0.25">
      <c r="A169" s="9" t="str">
        <f t="shared" si="12"/>
        <v xml:space="preserve"> - </v>
      </c>
    </row>
    <row r="170" spans="1:1" x14ac:dyDescent="0.25">
      <c r="A170" s="9" t="str">
        <f t="shared" si="12"/>
        <v xml:space="preserve"> - </v>
      </c>
    </row>
    <row r="171" spans="1:1" x14ac:dyDescent="0.25">
      <c r="A171" s="9" t="str">
        <f t="shared" si="12"/>
        <v xml:space="preserve"> - </v>
      </c>
    </row>
    <row r="172" spans="1:1" x14ac:dyDescent="0.25">
      <c r="A172" s="9" t="str">
        <f t="shared" si="12"/>
        <v xml:space="preserve"> - </v>
      </c>
    </row>
    <row r="173" spans="1:1" x14ac:dyDescent="0.25">
      <c r="A173" s="9" t="str">
        <f t="shared" si="12"/>
        <v xml:space="preserve"> - </v>
      </c>
    </row>
    <row r="174" spans="1:1" x14ac:dyDescent="0.25">
      <c r="A174" s="9" t="str">
        <f t="shared" si="12"/>
        <v xml:space="preserve"> - </v>
      </c>
    </row>
    <row r="175" spans="1:1" x14ac:dyDescent="0.25">
      <c r="A175" s="9" t="str">
        <f t="shared" si="12"/>
        <v xml:space="preserve"> - </v>
      </c>
    </row>
    <row r="176" spans="1:1" x14ac:dyDescent="0.25">
      <c r="A176" s="9" t="str">
        <f t="shared" si="12"/>
        <v xml:space="preserve"> - </v>
      </c>
    </row>
    <row r="177" spans="1:1" x14ac:dyDescent="0.25">
      <c r="A177" s="9" t="str">
        <f t="shared" si="12"/>
        <v xml:space="preserve"> - </v>
      </c>
    </row>
    <row r="178" spans="1:1" x14ac:dyDescent="0.25">
      <c r="A178" s="9" t="str">
        <f t="shared" si="12"/>
        <v xml:space="preserve"> - </v>
      </c>
    </row>
    <row r="179" spans="1:1" x14ac:dyDescent="0.25">
      <c r="A179" s="9" t="str">
        <f t="shared" si="12"/>
        <v xml:space="preserve"> - </v>
      </c>
    </row>
    <row r="180" spans="1:1" x14ac:dyDescent="0.25">
      <c r="A180" s="9" t="str">
        <f t="shared" si="12"/>
        <v xml:space="preserve"> - </v>
      </c>
    </row>
    <row r="181" spans="1:1" x14ac:dyDescent="0.25">
      <c r="A181" s="9" t="str">
        <f t="shared" si="12"/>
        <v xml:space="preserve"> - </v>
      </c>
    </row>
    <row r="182" spans="1:1" x14ac:dyDescent="0.25">
      <c r="A182" s="9" t="str">
        <f t="shared" si="12"/>
        <v xml:space="preserve"> - </v>
      </c>
    </row>
    <row r="183" spans="1:1" x14ac:dyDescent="0.25">
      <c r="A183" s="9" t="str">
        <f t="shared" si="12"/>
        <v xml:space="preserve"> - </v>
      </c>
    </row>
    <row r="184" spans="1:1" x14ac:dyDescent="0.25">
      <c r="A184" s="9" t="str">
        <f t="shared" si="12"/>
        <v xml:space="preserve"> - </v>
      </c>
    </row>
    <row r="185" spans="1:1" x14ac:dyDescent="0.25">
      <c r="A185" s="9" t="str">
        <f t="shared" si="12"/>
        <v xml:space="preserve"> - </v>
      </c>
    </row>
    <row r="186" spans="1:1" x14ac:dyDescent="0.25">
      <c r="A186" s="9" t="str">
        <f t="shared" si="12"/>
        <v xml:space="preserve"> - </v>
      </c>
    </row>
    <row r="187" spans="1:1" x14ac:dyDescent="0.25">
      <c r="A187" s="9" t="str">
        <f t="shared" si="12"/>
        <v xml:space="preserve"> - </v>
      </c>
    </row>
    <row r="188" spans="1:1" x14ac:dyDescent="0.25">
      <c r="A188" s="9" t="str">
        <f t="shared" si="12"/>
        <v xml:space="preserve"> - </v>
      </c>
    </row>
    <row r="189" spans="1:1" x14ac:dyDescent="0.25">
      <c r="A189" s="9" t="str">
        <f t="shared" si="12"/>
        <v xml:space="preserve"> - </v>
      </c>
    </row>
    <row r="190" spans="1:1" x14ac:dyDescent="0.25">
      <c r="A190" s="9" t="str">
        <f t="shared" si="12"/>
        <v xml:space="preserve"> - </v>
      </c>
    </row>
    <row r="191" spans="1:1" x14ac:dyDescent="0.25">
      <c r="A191" s="9" t="str">
        <f t="shared" si="12"/>
        <v xml:space="preserve"> - </v>
      </c>
    </row>
    <row r="192" spans="1:1" x14ac:dyDescent="0.25">
      <c r="A192" s="9" t="str">
        <f t="shared" si="12"/>
        <v xml:space="preserve"> - </v>
      </c>
    </row>
    <row r="193" spans="1:1" x14ac:dyDescent="0.25">
      <c r="A193" s="9" t="str">
        <f t="shared" si="12"/>
        <v xml:space="preserve"> - </v>
      </c>
    </row>
    <row r="194" spans="1:1" x14ac:dyDescent="0.25">
      <c r="A194" s="9" t="str">
        <f t="shared" si="12"/>
        <v xml:space="preserve"> - </v>
      </c>
    </row>
    <row r="195" spans="1:1" x14ac:dyDescent="0.25">
      <c r="A195" s="9" t="str">
        <f t="shared" si="12"/>
        <v xml:space="preserve"> - </v>
      </c>
    </row>
    <row r="196" spans="1:1" x14ac:dyDescent="0.25">
      <c r="A196" s="9" t="str">
        <f t="shared" ref="A196:A200" si="15">D196&amp;" - "&amp;E196</f>
        <v xml:space="preserve"> - </v>
      </c>
    </row>
    <row r="197" spans="1:1" x14ac:dyDescent="0.25">
      <c r="A197" s="9" t="str">
        <f t="shared" si="15"/>
        <v xml:space="preserve"> - </v>
      </c>
    </row>
    <row r="198" spans="1:1" x14ac:dyDescent="0.25">
      <c r="A198" s="9" t="str">
        <f t="shared" si="15"/>
        <v xml:space="preserve"> - </v>
      </c>
    </row>
    <row r="199" spans="1:1" x14ac:dyDescent="0.25">
      <c r="A199" s="9" t="str">
        <f t="shared" si="15"/>
        <v xml:space="preserve"> - </v>
      </c>
    </row>
    <row r="200" spans="1:1" x14ac:dyDescent="0.25">
      <c r="A200" s="9" t="str">
        <f t="shared" si="15"/>
        <v xml:space="preserve"> - </v>
      </c>
    </row>
  </sheetData>
  <dataValidations count="2">
    <dataValidation type="list" allowBlank="1" showInputMessage="1" showErrorMessage="1" sqref="E3:E1048576">
      <formula1>Presupuesto</formula1>
    </dataValidation>
    <dataValidation type="list" allowBlank="1" showInputMessage="1" showErrorMessage="1" sqref="D3:D1048576">
      <formula1>NegocioFilial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M200"/>
  <sheetViews>
    <sheetView workbookViewId="0">
      <pane xSplit="4" ySplit="2" topLeftCell="E142" activePane="bottomRight" state="frozen"/>
      <selection pane="topRight" activeCell="D1" sqref="D1"/>
      <selection pane="bottomLeft" activeCell="A2" sqref="A2"/>
      <selection pane="bottomRight" activeCell="H176" sqref="H176"/>
    </sheetView>
  </sheetViews>
  <sheetFormatPr baseColWidth="10" defaultColWidth="9.140625" defaultRowHeight="11.25" x14ac:dyDescent="0.25"/>
  <cols>
    <col min="1" max="1" width="16.85546875" style="9" hidden="1" customWidth="1"/>
    <col min="2" max="2" width="55.5703125" style="12" customWidth="1"/>
    <col min="3" max="3" width="1.7109375" style="12" customWidth="1"/>
    <col min="4" max="4" width="17.5703125" style="12" bestFit="1" customWidth="1"/>
    <col min="5" max="5" width="16.140625" style="12" customWidth="1"/>
    <col min="6" max="6" width="16.7109375" style="17" bestFit="1" customWidth="1"/>
    <col min="7" max="7" width="15.7109375" style="17" customWidth="1"/>
    <col min="8" max="8" width="16.7109375" style="17" bestFit="1" customWidth="1"/>
    <col min="9" max="9" width="15.7109375" style="17" customWidth="1"/>
    <col min="10" max="12" width="9.140625" style="12"/>
    <col min="13" max="13" width="19" style="17" bestFit="1" customWidth="1"/>
    <col min="14" max="16384" width="9.140625" style="12"/>
  </cols>
  <sheetData>
    <row r="1" spans="1:9" x14ac:dyDescent="0.25">
      <c r="D1" s="5" t="s">
        <v>16</v>
      </c>
      <c r="E1" s="17">
        <v>10</v>
      </c>
    </row>
    <row r="2" spans="1:9" x14ac:dyDescent="0.25">
      <c r="A2" s="10" t="s">
        <v>27</v>
      </c>
      <c r="B2" s="2" t="s">
        <v>4</v>
      </c>
      <c r="D2" s="2" t="s">
        <v>9</v>
      </c>
      <c r="E2" s="2" t="s">
        <v>12</v>
      </c>
      <c r="F2" s="4" t="s">
        <v>5</v>
      </c>
      <c r="G2" s="4" t="s">
        <v>6</v>
      </c>
      <c r="H2" s="4" t="s">
        <v>7</v>
      </c>
      <c r="I2" s="4" t="s">
        <v>8</v>
      </c>
    </row>
    <row r="3" spans="1:9" x14ac:dyDescent="0.25">
      <c r="A3" s="9" t="str">
        <f>D3&amp;" - "&amp;E3</f>
        <v>PETROMAR - Compras</v>
      </c>
      <c r="D3" s="12" t="s">
        <v>10</v>
      </c>
      <c r="E3" s="12" t="s">
        <v>17</v>
      </c>
      <c r="F3" s="17">
        <f>I3*$E$1</f>
        <v>15376189516.700001</v>
      </c>
      <c r="G3" s="17">
        <f>F3/$E$1</f>
        <v>1537618951.6700001</v>
      </c>
      <c r="H3" s="17">
        <f>F3-I3*$E$1</f>
        <v>0</v>
      </c>
      <c r="I3" s="17">
        <v>1537618951.6700001</v>
      </c>
    </row>
    <row r="4" spans="1:9" x14ac:dyDescent="0.25">
      <c r="A4" s="9" t="str">
        <f t="shared" ref="A4:A67" si="0">D4&amp;" - "&amp;E4</f>
        <v xml:space="preserve"> - </v>
      </c>
    </row>
    <row r="5" spans="1:9" x14ac:dyDescent="0.25">
      <c r="A5" s="9" t="str">
        <f t="shared" si="0"/>
        <v xml:space="preserve"> - </v>
      </c>
    </row>
    <row r="6" spans="1:9" x14ac:dyDescent="0.25">
      <c r="A6" s="9" t="str">
        <f t="shared" si="0"/>
        <v xml:space="preserve"> - </v>
      </c>
    </row>
    <row r="7" spans="1:9" x14ac:dyDescent="0.25">
      <c r="A7" s="9" t="str">
        <f t="shared" si="0"/>
        <v xml:space="preserve"> - </v>
      </c>
    </row>
    <row r="8" spans="1:9" x14ac:dyDescent="0.25">
      <c r="A8" s="9" t="str">
        <f t="shared" si="0"/>
        <v xml:space="preserve"> - </v>
      </c>
    </row>
    <row r="9" spans="1:9" x14ac:dyDescent="0.25">
      <c r="A9" s="9" t="str">
        <f t="shared" si="0"/>
        <v xml:space="preserve"> - </v>
      </c>
    </row>
    <row r="10" spans="1:9" x14ac:dyDescent="0.25">
      <c r="A10" s="9" t="str">
        <f t="shared" si="0"/>
        <v xml:space="preserve"> - </v>
      </c>
    </row>
    <row r="11" spans="1:9" x14ac:dyDescent="0.25">
      <c r="A11" s="9" t="str">
        <f t="shared" si="0"/>
        <v xml:space="preserve"> - </v>
      </c>
    </row>
    <row r="12" spans="1:9" x14ac:dyDescent="0.25">
      <c r="A12" s="9" t="str">
        <f t="shared" si="0"/>
        <v xml:space="preserve"> - </v>
      </c>
    </row>
    <row r="13" spans="1:9" x14ac:dyDescent="0.25">
      <c r="A13" s="9" t="str">
        <f t="shared" si="0"/>
        <v xml:space="preserve"> - </v>
      </c>
    </row>
    <row r="14" spans="1:9" x14ac:dyDescent="0.25">
      <c r="A14" s="9" t="str">
        <f t="shared" si="0"/>
        <v xml:space="preserve"> - </v>
      </c>
    </row>
    <row r="15" spans="1:9" x14ac:dyDescent="0.25">
      <c r="A15" s="9" t="str">
        <f t="shared" si="0"/>
        <v xml:space="preserve"> - </v>
      </c>
    </row>
    <row r="16" spans="1:9" x14ac:dyDescent="0.25">
      <c r="A16" s="9" t="str">
        <f t="shared" si="0"/>
        <v xml:space="preserve"> - </v>
      </c>
    </row>
    <row r="17" spans="1:9" x14ac:dyDescent="0.25">
      <c r="A17" s="9" t="str">
        <f t="shared" si="0"/>
        <v>COMERCIT - Operación</v>
      </c>
      <c r="D17" s="12" t="s">
        <v>18</v>
      </c>
      <c r="E17" s="12" t="s">
        <v>13</v>
      </c>
      <c r="F17" s="17">
        <v>135091240</v>
      </c>
      <c r="G17" s="17">
        <f t="shared" ref="G17:G18" si="1">F17/$E$1</f>
        <v>13509124</v>
      </c>
      <c r="H17" s="17">
        <f t="shared" ref="H17:H18" si="2">F17-I17*$E$1</f>
        <v>0</v>
      </c>
      <c r="I17" s="17">
        <v>13509124</v>
      </c>
    </row>
    <row r="18" spans="1:9" x14ac:dyDescent="0.25">
      <c r="A18" s="9" t="str">
        <f t="shared" si="0"/>
        <v>COMERCIT - OCyG</v>
      </c>
      <c r="D18" s="12" t="s">
        <v>18</v>
      </c>
      <c r="E18" s="12" t="s">
        <v>14</v>
      </c>
      <c r="F18" s="17">
        <v>-1394988625</v>
      </c>
      <c r="G18" s="17">
        <f t="shared" si="1"/>
        <v>-139498862.5</v>
      </c>
      <c r="H18" s="17">
        <f t="shared" si="2"/>
        <v>-2680761353</v>
      </c>
      <c r="I18" s="17">
        <v>128577272.8</v>
      </c>
    </row>
    <row r="19" spans="1:9" x14ac:dyDescent="0.25">
      <c r="A19" s="9" t="str">
        <f t="shared" si="0"/>
        <v xml:space="preserve"> - </v>
      </c>
    </row>
    <row r="20" spans="1:9" x14ac:dyDescent="0.25">
      <c r="A20" s="9" t="str">
        <f t="shared" si="0"/>
        <v xml:space="preserve"> - </v>
      </c>
    </row>
    <row r="21" spans="1:9" x14ac:dyDescent="0.25">
      <c r="A21" s="9" t="str">
        <f t="shared" si="0"/>
        <v xml:space="preserve"> - </v>
      </c>
    </row>
    <row r="22" spans="1:9" x14ac:dyDescent="0.25">
      <c r="A22" s="9" t="str">
        <f t="shared" si="0"/>
        <v xml:space="preserve"> - </v>
      </c>
    </row>
    <row r="23" spans="1:9" x14ac:dyDescent="0.25">
      <c r="A23" s="9" t="str">
        <f t="shared" si="0"/>
        <v xml:space="preserve"> - </v>
      </c>
    </row>
    <row r="24" spans="1:9" x14ac:dyDescent="0.25">
      <c r="A24" s="9" t="str">
        <f t="shared" si="0"/>
        <v xml:space="preserve"> - </v>
      </c>
    </row>
    <row r="25" spans="1:9" x14ac:dyDescent="0.25">
      <c r="A25" s="9" t="str">
        <f t="shared" si="0"/>
        <v xml:space="preserve"> - </v>
      </c>
    </row>
    <row r="26" spans="1:9" x14ac:dyDescent="0.25">
      <c r="A26" s="9" t="str">
        <f t="shared" si="0"/>
        <v xml:space="preserve"> - </v>
      </c>
    </row>
    <row r="27" spans="1:9" x14ac:dyDescent="0.25">
      <c r="A27" s="9" t="str">
        <f t="shared" si="0"/>
        <v xml:space="preserve"> - </v>
      </c>
    </row>
    <row r="28" spans="1:9" x14ac:dyDescent="0.25">
      <c r="A28" s="9" t="str">
        <f t="shared" si="0"/>
        <v xml:space="preserve"> - </v>
      </c>
    </row>
    <row r="29" spans="1:9" x14ac:dyDescent="0.25">
      <c r="A29" s="9" t="str">
        <f t="shared" si="0"/>
        <v xml:space="preserve"> - </v>
      </c>
    </row>
    <row r="30" spans="1:9" x14ac:dyDescent="0.25">
      <c r="A30" s="9" t="str">
        <f t="shared" si="0"/>
        <v xml:space="preserve"> - </v>
      </c>
    </row>
    <row r="31" spans="1:9" x14ac:dyDescent="0.25">
      <c r="A31" s="9" t="str">
        <f t="shared" si="0"/>
        <v xml:space="preserve"> - </v>
      </c>
    </row>
    <row r="32" spans="1:9" x14ac:dyDescent="0.25">
      <c r="A32" s="9" t="str">
        <f t="shared" si="0"/>
        <v xml:space="preserve"> - </v>
      </c>
    </row>
    <row r="33" spans="1:9" x14ac:dyDescent="0.25">
      <c r="A33" s="9" t="str">
        <f t="shared" si="0"/>
        <v xml:space="preserve"> - </v>
      </c>
    </row>
    <row r="34" spans="1:9" x14ac:dyDescent="0.25">
      <c r="A34" s="9" t="str">
        <f t="shared" si="0"/>
        <v xml:space="preserve"> - </v>
      </c>
    </row>
    <row r="35" spans="1:9" x14ac:dyDescent="0.25">
      <c r="A35" s="9" t="str">
        <f t="shared" si="0"/>
        <v xml:space="preserve"> - </v>
      </c>
    </row>
    <row r="36" spans="1:9" x14ac:dyDescent="0.25">
      <c r="A36" s="9" t="str">
        <f t="shared" si="0"/>
        <v xml:space="preserve"> - </v>
      </c>
    </row>
    <row r="37" spans="1:9" x14ac:dyDescent="0.25">
      <c r="A37" s="9" t="str">
        <f t="shared" si="0"/>
        <v xml:space="preserve"> - </v>
      </c>
    </row>
    <row r="38" spans="1:9" x14ac:dyDescent="0.25">
      <c r="A38" s="9" t="str">
        <f t="shared" si="0"/>
        <v xml:space="preserve"> - </v>
      </c>
    </row>
    <row r="39" spans="1:9" x14ac:dyDescent="0.25">
      <c r="A39" s="9" t="str">
        <f t="shared" si="0"/>
        <v xml:space="preserve"> - </v>
      </c>
    </row>
    <row r="40" spans="1:9" x14ac:dyDescent="0.25">
      <c r="A40" s="9" t="str">
        <f t="shared" si="0"/>
        <v xml:space="preserve"> - </v>
      </c>
    </row>
    <row r="41" spans="1:9" x14ac:dyDescent="0.25">
      <c r="A41" s="9" t="str">
        <f t="shared" si="0"/>
        <v xml:space="preserve"> - </v>
      </c>
    </row>
    <row r="42" spans="1:9" x14ac:dyDescent="0.25">
      <c r="A42" s="9" t="str">
        <f t="shared" si="0"/>
        <v xml:space="preserve"> - </v>
      </c>
    </row>
    <row r="43" spans="1:9" x14ac:dyDescent="0.25">
      <c r="A43" s="9" t="str">
        <f t="shared" si="0"/>
        <v xml:space="preserve"> - </v>
      </c>
    </row>
    <row r="44" spans="1:9" x14ac:dyDescent="0.25">
      <c r="A44" s="9" t="str">
        <f t="shared" si="0"/>
        <v xml:space="preserve"> - </v>
      </c>
    </row>
    <row r="45" spans="1:9" x14ac:dyDescent="0.25">
      <c r="A45" s="9" t="str">
        <f t="shared" si="0"/>
        <v>PDV MARINA - Operación</v>
      </c>
      <c r="D45" s="12" t="s">
        <v>0</v>
      </c>
      <c r="E45" s="12" t="s">
        <v>13</v>
      </c>
      <c r="F45" s="17">
        <v>384799108994</v>
      </c>
      <c r="G45" s="17">
        <f t="shared" ref="G45:G47" si="3">F45/$E$1</f>
        <v>38479910899.400002</v>
      </c>
      <c r="H45" s="17">
        <f t="shared" ref="H45:H47" si="4">F45-I45*$E$1</f>
        <v>382144766096.29999</v>
      </c>
      <c r="I45" s="17">
        <v>265434289.77000001</v>
      </c>
    </row>
    <row r="46" spans="1:9" x14ac:dyDescent="0.25">
      <c r="A46" s="9" t="str">
        <f t="shared" si="0"/>
        <v>PDV MARINA - OCyG</v>
      </c>
      <c r="D46" s="12" t="s">
        <v>0</v>
      </c>
      <c r="E46" s="12" t="s">
        <v>14</v>
      </c>
      <c r="F46" s="17">
        <v>648450197</v>
      </c>
      <c r="G46" s="17">
        <f t="shared" si="3"/>
        <v>64845019.700000003</v>
      </c>
      <c r="H46" s="17">
        <f t="shared" si="4"/>
        <v>648450197</v>
      </c>
      <c r="I46" s="17">
        <v>0</v>
      </c>
    </row>
    <row r="47" spans="1:9" x14ac:dyDescent="0.25">
      <c r="A47" s="9" t="str">
        <f t="shared" si="0"/>
        <v>PDV MARINA - Inversión</v>
      </c>
      <c r="D47" s="12" t="s">
        <v>0</v>
      </c>
      <c r="E47" s="12" t="s">
        <v>15</v>
      </c>
      <c r="F47" s="17">
        <v>718092790</v>
      </c>
      <c r="G47" s="17">
        <f t="shared" si="3"/>
        <v>71809279</v>
      </c>
      <c r="H47" s="17">
        <f t="shared" si="4"/>
        <v>140624790</v>
      </c>
      <c r="I47" s="17">
        <v>57746800</v>
      </c>
    </row>
    <row r="48" spans="1:9" x14ac:dyDescent="0.25">
      <c r="A48" s="9" t="str">
        <f t="shared" si="0"/>
        <v xml:space="preserve"> - </v>
      </c>
    </row>
    <row r="49" spans="1:1" x14ac:dyDescent="0.25">
      <c r="A49" s="9" t="str">
        <f t="shared" si="0"/>
        <v xml:space="preserve"> - </v>
      </c>
    </row>
    <row r="50" spans="1:1" x14ac:dyDescent="0.25">
      <c r="A50" s="9" t="str">
        <f t="shared" si="0"/>
        <v xml:space="preserve"> - </v>
      </c>
    </row>
    <row r="51" spans="1:1" x14ac:dyDescent="0.25">
      <c r="A51" s="9" t="str">
        <f t="shared" si="0"/>
        <v xml:space="preserve"> - </v>
      </c>
    </row>
    <row r="52" spans="1:1" x14ac:dyDescent="0.25">
      <c r="A52" s="9" t="str">
        <f t="shared" si="0"/>
        <v xml:space="preserve"> - </v>
      </c>
    </row>
    <row r="53" spans="1:1" x14ac:dyDescent="0.25">
      <c r="A53" s="9" t="str">
        <f t="shared" si="0"/>
        <v xml:space="preserve"> - </v>
      </c>
    </row>
    <row r="54" spans="1:1" x14ac:dyDescent="0.25">
      <c r="A54" s="9" t="str">
        <f t="shared" si="0"/>
        <v xml:space="preserve"> - </v>
      </c>
    </row>
    <row r="55" spans="1:1" x14ac:dyDescent="0.25">
      <c r="A55" s="9" t="str">
        <f t="shared" si="0"/>
        <v xml:space="preserve"> - </v>
      </c>
    </row>
    <row r="56" spans="1:1" x14ac:dyDescent="0.25">
      <c r="A56" s="9" t="str">
        <f t="shared" si="0"/>
        <v xml:space="preserve"> - </v>
      </c>
    </row>
    <row r="57" spans="1:1" x14ac:dyDescent="0.25">
      <c r="A57" s="9" t="str">
        <f t="shared" si="0"/>
        <v xml:space="preserve"> - </v>
      </c>
    </row>
    <row r="58" spans="1:1" x14ac:dyDescent="0.25">
      <c r="A58" s="9" t="str">
        <f t="shared" si="0"/>
        <v xml:space="preserve"> - </v>
      </c>
    </row>
    <row r="59" spans="1:1" x14ac:dyDescent="0.25">
      <c r="A59" s="9" t="str">
        <f t="shared" si="0"/>
        <v xml:space="preserve"> - </v>
      </c>
    </row>
    <row r="60" spans="1:1" x14ac:dyDescent="0.25">
      <c r="A60" s="9" t="str">
        <f t="shared" si="0"/>
        <v xml:space="preserve"> - </v>
      </c>
    </row>
    <row r="61" spans="1:1" x14ac:dyDescent="0.25">
      <c r="A61" s="9" t="str">
        <f t="shared" si="0"/>
        <v xml:space="preserve"> - </v>
      </c>
    </row>
    <row r="62" spans="1:1" x14ac:dyDescent="0.25">
      <c r="A62" s="9" t="str">
        <f t="shared" si="0"/>
        <v xml:space="preserve"> - </v>
      </c>
    </row>
    <row r="63" spans="1:1" x14ac:dyDescent="0.25">
      <c r="A63" s="9" t="str">
        <f t="shared" si="0"/>
        <v xml:space="preserve"> - </v>
      </c>
    </row>
    <row r="64" spans="1:1" x14ac:dyDescent="0.25">
      <c r="A64" s="9" t="str">
        <f t="shared" si="0"/>
        <v xml:space="preserve"> - </v>
      </c>
    </row>
    <row r="65" spans="1:9" x14ac:dyDescent="0.25">
      <c r="A65" s="9" t="str">
        <f t="shared" si="0"/>
        <v xml:space="preserve"> - </v>
      </c>
    </row>
    <row r="66" spans="1:9" x14ac:dyDescent="0.25">
      <c r="A66" s="9" t="str">
        <f t="shared" si="0"/>
        <v xml:space="preserve"> - </v>
      </c>
    </row>
    <row r="67" spans="1:9" x14ac:dyDescent="0.25">
      <c r="A67" s="9" t="str">
        <f t="shared" si="0"/>
        <v xml:space="preserve"> - </v>
      </c>
    </row>
    <row r="68" spans="1:9" x14ac:dyDescent="0.25">
      <c r="A68" s="9" t="str">
        <f t="shared" ref="A68:A131" si="5">D68&amp;" - "&amp;E68</f>
        <v xml:space="preserve"> - </v>
      </c>
    </row>
    <row r="69" spans="1:9" x14ac:dyDescent="0.25">
      <c r="A69" s="9" t="str">
        <f t="shared" si="5"/>
        <v xml:space="preserve"> - </v>
      </c>
    </row>
    <row r="70" spans="1:9" x14ac:dyDescent="0.25">
      <c r="A70" s="9" t="str">
        <f t="shared" si="5"/>
        <v xml:space="preserve"> - </v>
      </c>
    </row>
    <row r="71" spans="1:9" x14ac:dyDescent="0.25">
      <c r="A71" s="9" t="str">
        <f t="shared" si="5"/>
        <v xml:space="preserve"> - </v>
      </c>
    </row>
    <row r="72" spans="1:9" x14ac:dyDescent="0.25">
      <c r="A72" s="9" t="str">
        <f t="shared" si="5"/>
        <v xml:space="preserve"> - </v>
      </c>
    </row>
    <row r="73" spans="1:9" x14ac:dyDescent="0.25">
      <c r="A73" s="9" t="str">
        <f t="shared" si="5"/>
        <v xml:space="preserve"> - </v>
      </c>
    </row>
    <row r="74" spans="1:9" x14ac:dyDescent="0.25">
      <c r="A74" s="9" t="str">
        <f t="shared" si="5"/>
        <v xml:space="preserve"> - </v>
      </c>
    </row>
    <row r="75" spans="1:9" x14ac:dyDescent="0.25">
      <c r="A75" s="9" t="str">
        <f t="shared" si="5"/>
        <v xml:space="preserve"> - </v>
      </c>
    </row>
    <row r="76" spans="1:9" x14ac:dyDescent="0.25">
      <c r="A76" s="9" t="str">
        <f t="shared" si="5"/>
        <v xml:space="preserve"> - </v>
      </c>
    </row>
    <row r="77" spans="1:9" x14ac:dyDescent="0.25">
      <c r="A77" s="9" t="str">
        <f t="shared" si="5"/>
        <v>COMMERCHAMP - Operación</v>
      </c>
      <c r="D77" s="12" t="s">
        <v>1</v>
      </c>
      <c r="E77" s="12" t="s">
        <v>13</v>
      </c>
      <c r="F77" s="17">
        <v>67347450</v>
      </c>
      <c r="G77" s="17">
        <f t="shared" ref="G77:G78" si="6">F77/$E$1</f>
        <v>6734745</v>
      </c>
      <c r="H77" s="17">
        <f t="shared" ref="H77:H78" si="7">F77-I77*$E$1</f>
        <v>67347450</v>
      </c>
      <c r="I77" s="17">
        <v>0</v>
      </c>
    </row>
    <row r="78" spans="1:9" x14ac:dyDescent="0.25">
      <c r="A78" s="9" t="str">
        <f t="shared" si="5"/>
        <v>COMMERCHAMP - OCyG</v>
      </c>
      <c r="D78" s="12" t="s">
        <v>1</v>
      </c>
      <c r="E78" s="12" t="s">
        <v>14</v>
      </c>
      <c r="F78" s="17">
        <v>2137330919</v>
      </c>
      <c r="G78" s="17">
        <f t="shared" si="6"/>
        <v>213733091.90000001</v>
      </c>
      <c r="H78" s="17">
        <f t="shared" si="7"/>
        <v>2137330919</v>
      </c>
      <c r="I78" s="17">
        <v>0</v>
      </c>
    </row>
    <row r="79" spans="1:9" x14ac:dyDescent="0.25">
      <c r="A79" s="9" t="str">
        <f t="shared" si="5"/>
        <v xml:space="preserve"> - </v>
      </c>
    </row>
    <row r="80" spans="1:9" x14ac:dyDescent="0.25">
      <c r="A80" s="9" t="str">
        <f t="shared" si="5"/>
        <v xml:space="preserve"> - </v>
      </c>
    </row>
    <row r="81" spans="1:9" x14ac:dyDescent="0.25">
      <c r="A81" s="9" t="str">
        <f t="shared" si="5"/>
        <v xml:space="preserve"> - </v>
      </c>
    </row>
    <row r="82" spans="1:9" x14ac:dyDescent="0.25">
      <c r="A82" s="9" t="str">
        <f t="shared" si="5"/>
        <v xml:space="preserve"> - </v>
      </c>
    </row>
    <row r="83" spans="1:9" x14ac:dyDescent="0.25">
      <c r="A83" s="9" t="str">
        <f t="shared" si="5"/>
        <v xml:space="preserve"> - </v>
      </c>
    </row>
    <row r="84" spans="1:9" x14ac:dyDescent="0.25">
      <c r="A84" s="9" t="str">
        <f t="shared" si="5"/>
        <v xml:space="preserve"> - </v>
      </c>
    </row>
    <row r="85" spans="1:9" x14ac:dyDescent="0.25">
      <c r="A85" s="9" t="str">
        <f t="shared" si="5"/>
        <v xml:space="preserve"> - </v>
      </c>
    </row>
    <row r="86" spans="1:9" x14ac:dyDescent="0.25">
      <c r="A86" s="9" t="str">
        <f t="shared" si="5"/>
        <v xml:space="preserve"> - </v>
      </c>
    </row>
    <row r="87" spans="1:9" x14ac:dyDescent="0.25">
      <c r="A87" s="9" t="str">
        <f t="shared" si="5"/>
        <v xml:space="preserve"> - </v>
      </c>
    </row>
    <row r="88" spans="1:9" x14ac:dyDescent="0.25">
      <c r="A88" s="9" t="str">
        <f t="shared" si="5"/>
        <v xml:space="preserve"> - </v>
      </c>
    </row>
    <row r="89" spans="1:9" x14ac:dyDescent="0.25">
      <c r="A89" s="9" t="str">
        <f t="shared" si="5"/>
        <v xml:space="preserve"> - </v>
      </c>
    </row>
    <row r="90" spans="1:9" x14ac:dyDescent="0.25">
      <c r="A90" s="9" t="str">
        <f t="shared" si="5"/>
        <v xml:space="preserve"> - </v>
      </c>
    </row>
    <row r="91" spans="1:9" x14ac:dyDescent="0.25">
      <c r="A91" s="9" t="str">
        <f t="shared" si="5"/>
        <v xml:space="preserve"> - </v>
      </c>
    </row>
    <row r="92" spans="1:9" x14ac:dyDescent="0.25">
      <c r="A92" s="9" t="str">
        <f t="shared" si="5"/>
        <v xml:space="preserve"> - </v>
      </c>
    </row>
    <row r="93" spans="1:9" x14ac:dyDescent="0.25">
      <c r="A93" s="9" t="str">
        <f t="shared" si="5"/>
        <v>COMERCIO Y SUMINISTRO - Operación</v>
      </c>
      <c r="D93" s="12" t="s">
        <v>2</v>
      </c>
      <c r="E93" s="12" t="s">
        <v>13</v>
      </c>
      <c r="F93" s="17">
        <v>289272960499</v>
      </c>
      <c r="G93" s="17">
        <f t="shared" ref="G93:G94" si="8">F93/$E$1</f>
        <v>28927296049.900002</v>
      </c>
      <c r="H93" s="17">
        <f t="shared" ref="H93:H94" si="9">F93-I93*$E$1</f>
        <v>283120227832.5</v>
      </c>
      <c r="I93" s="17">
        <v>615273266.64999998</v>
      </c>
    </row>
    <row r="94" spans="1:9" x14ac:dyDescent="0.25">
      <c r="A94" s="9" t="str">
        <f t="shared" si="5"/>
        <v>COMERCIO Y SUMINISTRO - OCyG</v>
      </c>
      <c r="D94" s="12" t="s">
        <v>2</v>
      </c>
      <c r="E94" s="12" t="s">
        <v>14</v>
      </c>
      <c r="F94" s="17">
        <v>207769826670</v>
      </c>
      <c r="G94" s="17">
        <f t="shared" si="8"/>
        <v>20776982667</v>
      </c>
      <c r="H94" s="17">
        <f t="shared" si="9"/>
        <v>21122582621.5</v>
      </c>
      <c r="I94" s="17">
        <v>18664724404.849998</v>
      </c>
    </row>
    <row r="95" spans="1:9" x14ac:dyDescent="0.25">
      <c r="A95" s="9" t="str">
        <f t="shared" si="5"/>
        <v xml:space="preserve"> - </v>
      </c>
    </row>
    <row r="96" spans="1:9" x14ac:dyDescent="0.25">
      <c r="A96" s="9" t="str">
        <f t="shared" si="5"/>
        <v xml:space="preserve"> - </v>
      </c>
    </row>
    <row r="97" spans="1:1" x14ac:dyDescent="0.25">
      <c r="A97" s="9" t="str">
        <f t="shared" si="5"/>
        <v xml:space="preserve"> - </v>
      </c>
    </row>
    <row r="98" spans="1:1" x14ac:dyDescent="0.25">
      <c r="A98" s="9" t="str">
        <f t="shared" si="5"/>
        <v xml:space="preserve"> - </v>
      </c>
    </row>
    <row r="99" spans="1:1" x14ac:dyDescent="0.25">
      <c r="A99" s="9" t="str">
        <f t="shared" si="5"/>
        <v xml:space="preserve"> - </v>
      </c>
    </row>
    <row r="100" spans="1:1" x14ac:dyDescent="0.25">
      <c r="A100" s="9" t="str">
        <f t="shared" si="5"/>
        <v xml:space="preserve"> - </v>
      </c>
    </row>
    <row r="101" spans="1:1" x14ac:dyDescent="0.25">
      <c r="A101" s="9" t="str">
        <f t="shared" si="5"/>
        <v xml:space="preserve"> - </v>
      </c>
    </row>
    <row r="102" spans="1:1" x14ac:dyDescent="0.25">
      <c r="A102" s="9" t="str">
        <f t="shared" si="5"/>
        <v xml:space="preserve"> - </v>
      </c>
    </row>
    <row r="103" spans="1:1" x14ac:dyDescent="0.25">
      <c r="A103" s="9" t="str">
        <f t="shared" si="5"/>
        <v xml:space="preserve"> - </v>
      </c>
    </row>
    <row r="104" spans="1:1" x14ac:dyDescent="0.25">
      <c r="A104" s="9" t="str">
        <f t="shared" si="5"/>
        <v xml:space="preserve"> - </v>
      </c>
    </row>
    <row r="105" spans="1:1" x14ac:dyDescent="0.25">
      <c r="A105" s="9" t="str">
        <f t="shared" si="5"/>
        <v xml:space="preserve"> - </v>
      </c>
    </row>
    <row r="106" spans="1:1" x14ac:dyDescent="0.25">
      <c r="A106" s="9" t="str">
        <f t="shared" si="5"/>
        <v xml:space="preserve"> - </v>
      </c>
    </row>
    <row r="107" spans="1:1" x14ac:dyDescent="0.25">
      <c r="A107" s="9" t="str">
        <f t="shared" si="5"/>
        <v xml:space="preserve"> - </v>
      </c>
    </row>
    <row r="108" spans="1:1" x14ac:dyDescent="0.25">
      <c r="A108" s="9" t="str">
        <f t="shared" si="5"/>
        <v xml:space="preserve"> - </v>
      </c>
    </row>
    <row r="109" spans="1:1" x14ac:dyDescent="0.25">
      <c r="A109" s="9" t="str">
        <f t="shared" si="5"/>
        <v xml:space="preserve"> - </v>
      </c>
    </row>
    <row r="110" spans="1:1" x14ac:dyDescent="0.25">
      <c r="A110" s="9" t="str">
        <f t="shared" si="5"/>
        <v xml:space="preserve"> - </v>
      </c>
    </row>
    <row r="111" spans="1:1" x14ac:dyDescent="0.25">
      <c r="A111" s="9" t="str">
        <f t="shared" si="5"/>
        <v xml:space="preserve"> - </v>
      </c>
    </row>
    <row r="112" spans="1:1" x14ac:dyDescent="0.25">
      <c r="A112" s="9" t="str">
        <f t="shared" si="5"/>
        <v xml:space="preserve"> - </v>
      </c>
    </row>
    <row r="113" spans="1:9" x14ac:dyDescent="0.25">
      <c r="A113" s="9" t="str">
        <f t="shared" si="5"/>
        <v xml:space="preserve"> - </v>
      </c>
    </row>
    <row r="114" spans="1:9" x14ac:dyDescent="0.25">
      <c r="A114" s="9" t="str">
        <f t="shared" si="5"/>
        <v xml:space="preserve"> - </v>
      </c>
    </row>
    <row r="115" spans="1:9" x14ac:dyDescent="0.25">
      <c r="A115" s="9" t="str">
        <f t="shared" si="5"/>
        <v xml:space="preserve"> - </v>
      </c>
    </row>
    <row r="116" spans="1:9" x14ac:dyDescent="0.25">
      <c r="A116" s="9" t="str">
        <f t="shared" si="5"/>
        <v xml:space="preserve"> - </v>
      </c>
    </row>
    <row r="117" spans="1:9" x14ac:dyDescent="0.25">
      <c r="A117" s="9" t="str">
        <f t="shared" si="5"/>
        <v xml:space="preserve"> - </v>
      </c>
    </row>
    <row r="118" spans="1:9" x14ac:dyDescent="0.25">
      <c r="A118" s="9" t="str">
        <f t="shared" si="5"/>
        <v xml:space="preserve"> - </v>
      </c>
    </row>
    <row r="119" spans="1:9" x14ac:dyDescent="0.25">
      <c r="A119" s="9" t="str">
        <f t="shared" si="5"/>
        <v xml:space="preserve"> - </v>
      </c>
    </row>
    <row r="120" spans="1:9" x14ac:dyDescent="0.25">
      <c r="A120" s="9" t="str">
        <f t="shared" si="5"/>
        <v>MERCADO NACIONAL - Operación</v>
      </c>
      <c r="D120" s="12" t="s">
        <v>11</v>
      </c>
      <c r="E120" s="12" t="s">
        <v>13</v>
      </c>
      <c r="F120" s="17">
        <v>1008558432578</v>
      </c>
      <c r="G120" s="17">
        <f t="shared" ref="G120:G122" si="10">F120/$E$1</f>
        <v>100855843257.8</v>
      </c>
      <c r="H120" s="17">
        <f t="shared" ref="H120:H122" si="11">F120-I120*$E$1</f>
        <v>1007903504708.4</v>
      </c>
      <c r="I120" s="17">
        <v>65492786.960000001</v>
      </c>
    </row>
    <row r="121" spans="1:9" x14ac:dyDescent="0.25">
      <c r="A121" s="9" t="str">
        <f t="shared" si="5"/>
        <v>MERCADO NACIONAL - OCyG</v>
      </c>
      <c r="D121" s="12" t="s">
        <v>11</v>
      </c>
      <c r="E121" s="12" t="s">
        <v>14</v>
      </c>
      <c r="F121" s="17">
        <v>320464869088</v>
      </c>
      <c r="G121" s="17">
        <f t="shared" si="10"/>
        <v>32046486908.799999</v>
      </c>
      <c r="H121" s="17">
        <f t="shared" si="11"/>
        <v>319138288425</v>
      </c>
      <c r="I121" s="17">
        <v>132658066.3</v>
      </c>
    </row>
    <row r="122" spans="1:9" x14ac:dyDescent="0.25">
      <c r="A122" s="9" t="str">
        <f t="shared" si="5"/>
        <v>MERCADO NACIONAL - Inversión</v>
      </c>
      <c r="D122" s="12" t="s">
        <v>11</v>
      </c>
      <c r="E122" s="12" t="s">
        <v>15</v>
      </c>
      <c r="F122" s="17">
        <v>27324895975</v>
      </c>
      <c r="G122" s="17">
        <f t="shared" si="10"/>
        <v>2732489597.5</v>
      </c>
      <c r="H122" s="17">
        <f t="shared" si="11"/>
        <v>26667333941.700001</v>
      </c>
      <c r="I122" s="17">
        <v>65756203.329999998</v>
      </c>
    </row>
    <row r="123" spans="1:9" x14ac:dyDescent="0.25">
      <c r="A123" s="9" t="str">
        <f t="shared" si="5"/>
        <v xml:space="preserve"> - </v>
      </c>
    </row>
    <row r="124" spans="1:9" x14ac:dyDescent="0.25">
      <c r="A124" s="9" t="str">
        <f t="shared" si="5"/>
        <v xml:space="preserve"> - </v>
      </c>
    </row>
    <row r="125" spans="1:9" x14ac:dyDescent="0.25">
      <c r="A125" s="9" t="str">
        <f t="shared" si="5"/>
        <v xml:space="preserve"> - </v>
      </c>
    </row>
    <row r="126" spans="1:9" x14ac:dyDescent="0.25">
      <c r="A126" s="9" t="str">
        <f t="shared" si="5"/>
        <v xml:space="preserve"> - </v>
      </c>
    </row>
    <row r="127" spans="1:9" x14ac:dyDescent="0.25">
      <c r="A127" s="9" t="str">
        <f t="shared" si="5"/>
        <v xml:space="preserve"> - </v>
      </c>
    </row>
    <row r="128" spans="1:9" x14ac:dyDescent="0.25">
      <c r="A128" s="9" t="str">
        <f t="shared" si="5"/>
        <v xml:space="preserve"> - </v>
      </c>
    </row>
    <row r="129" spans="1:1" x14ac:dyDescent="0.25">
      <c r="A129" s="9" t="str">
        <f t="shared" si="5"/>
        <v xml:space="preserve"> - </v>
      </c>
    </row>
    <row r="130" spans="1:1" x14ac:dyDescent="0.25">
      <c r="A130" s="9" t="str">
        <f t="shared" si="5"/>
        <v xml:space="preserve"> - </v>
      </c>
    </row>
    <row r="131" spans="1:1" x14ac:dyDescent="0.25">
      <c r="A131" s="9" t="str">
        <f t="shared" si="5"/>
        <v xml:space="preserve"> - </v>
      </c>
    </row>
    <row r="132" spans="1:1" x14ac:dyDescent="0.25">
      <c r="A132" s="9" t="str">
        <f t="shared" ref="A132:A195" si="12">D132&amp;" - "&amp;E132</f>
        <v xml:space="preserve"> - </v>
      </c>
    </row>
    <row r="133" spans="1:1" x14ac:dyDescent="0.25">
      <c r="A133" s="9" t="str">
        <f t="shared" si="12"/>
        <v xml:space="preserve"> - </v>
      </c>
    </row>
    <row r="134" spans="1:1" x14ac:dyDescent="0.25">
      <c r="A134" s="9" t="str">
        <f t="shared" si="12"/>
        <v xml:space="preserve"> - </v>
      </c>
    </row>
    <row r="135" spans="1:1" x14ac:dyDescent="0.25">
      <c r="A135" s="9" t="str">
        <f t="shared" si="12"/>
        <v xml:space="preserve"> - </v>
      </c>
    </row>
    <row r="136" spans="1:1" x14ac:dyDescent="0.25">
      <c r="A136" s="9" t="str">
        <f t="shared" si="12"/>
        <v xml:space="preserve"> - </v>
      </c>
    </row>
    <row r="137" spans="1:1" x14ac:dyDescent="0.25">
      <c r="A137" s="9" t="str">
        <f t="shared" si="12"/>
        <v xml:space="preserve"> - </v>
      </c>
    </row>
    <row r="138" spans="1:1" x14ac:dyDescent="0.25">
      <c r="A138" s="9" t="str">
        <f t="shared" si="12"/>
        <v xml:space="preserve"> - </v>
      </c>
    </row>
    <row r="139" spans="1:1" x14ac:dyDescent="0.25">
      <c r="A139" s="9" t="str">
        <f t="shared" si="12"/>
        <v xml:space="preserve"> - </v>
      </c>
    </row>
    <row r="140" spans="1:1" x14ac:dyDescent="0.25">
      <c r="A140" s="9" t="str">
        <f t="shared" si="12"/>
        <v xml:space="preserve"> - </v>
      </c>
    </row>
    <row r="141" spans="1:1" x14ac:dyDescent="0.25">
      <c r="A141" s="9" t="str">
        <f t="shared" si="12"/>
        <v xml:space="preserve"> - </v>
      </c>
    </row>
    <row r="142" spans="1:1" x14ac:dyDescent="0.25">
      <c r="A142" s="9" t="str">
        <f t="shared" si="12"/>
        <v xml:space="preserve"> - </v>
      </c>
    </row>
    <row r="143" spans="1:1" x14ac:dyDescent="0.25">
      <c r="A143" s="9" t="str">
        <f t="shared" si="12"/>
        <v xml:space="preserve"> - </v>
      </c>
    </row>
    <row r="144" spans="1:1" x14ac:dyDescent="0.25">
      <c r="A144" s="9" t="str">
        <f t="shared" si="12"/>
        <v xml:space="preserve"> - </v>
      </c>
    </row>
    <row r="145" spans="1:9" x14ac:dyDescent="0.25">
      <c r="A145" s="9" t="str">
        <f t="shared" si="12"/>
        <v xml:space="preserve"> - </v>
      </c>
    </row>
    <row r="146" spans="1:9" x14ac:dyDescent="0.25">
      <c r="A146" s="9" t="str">
        <f t="shared" si="12"/>
        <v xml:space="preserve"> - </v>
      </c>
    </row>
    <row r="147" spans="1:9" x14ac:dyDescent="0.25">
      <c r="A147" s="9" t="str">
        <f t="shared" si="12"/>
        <v xml:space="preserve"> - </v>
      </c>
    </row>
    <row r="148" spans="1:9" x14ac:dyDescent="0.25">
      <c r="A148" s="9" t="str">
        <f t="shared" si="12"/>
        <v xml:space="preserve"> - </v>
      </c>
    </row>
    <row r="149" spans="1:9" x14ac:dyDescent="0.25">
      <c r="A149" s="9" t="str">
        <f t="shared" si="12"/>
        <v xml:space="preserve"> - </v>
      </c>
    </row>
    <row r="150" spans="1:9" x14ac:dyDescent="0.25">
      <c r="A150" s="9" t="str">
        <f t="shared" si="12"/>
        <v xml:space="preserve"> - </v>
      </c>
    </row>
    <row r="151" spans="1:9" x14ac:dyDescent="0.25">
      <c r="A151" s="9" t="str">
        <f t="shared" si="12"/>
        <v xml:space="preserve"> - </v>
      </c>
    </row>
    <row r="152" spans="1:9" x14ac:dyDescent="0.25">
      <c r="A152" s="9" t="str">
        <f t="shared" si="12"/>
        <v xml:space="preserve"> - </v>
      </c>
    </row>
    <row r="153" spans="1:9" x14ac:dyDescent="0.25">
      <c r="A153" s="9" t="str">
        <f t="shared" si="12"/>
        <v xml:space="preserve"> - </v>
      </c>
    </row>
    <row r="154" spans="1:9" x14ac:dyDescent="0.25">
      <c r="A154" s="9" t="str">
        <f t="shared" si="12"/>
        <v xml:space="preserve"> - </v>
      </c>
    </row>
    <row r="155" spans="1:9" x14ac:dyDescent="0.25">
      <c r="A155" s="9" t="str">
        <f t="shared" si="12"/>
        <v xml:space="preserve"> - </v>
      </c>
    </row>
    <row r="156" spans="1:9" x14ac:dyDescent="0.25">
      <c r="A156" s="9" t="str">
        <f t="shared" si="12"/>
        <v>ENT - Operación</v>
      </c>
      <c r="D156" s="12" t="s">
        <v>3</v>
      </c>
      <c r="E156" s="12" t="s">
        <v>13</v>
      </c>
      <c r="F156" s="17">
        <v>1464343592237</v>
      </c>
      <c r="G156" s="17">
        <f t="shared" ref="G156:G158" si="13">F156/$E$1</f>
        <v>146434359223.70001</v>
      </c>
      <c r="H156" s="17">
        <f t="shared" ref="H156:H158" si="14">F156-I156*$E$1</f>
        <v>1464340984026.6001</v>
      </c>
      <c r="I156" s="17">
        <v>260821.04</v>
      </c>
    </row>
    <row r="157" spans="1:9" x14ac:dyDescent="0.25">
      <c r="A157" s="9" t="str">
        <f t="shared" si="12"/>
        <v>ENT - OCyG</v>
      </c>
      <c r="D157" s="12" t="s">
        <v>3</v>
      </c>
      <c r="E157" s="12" t="s">
        <v>14</v>
      </c>
      <c r="F157" s="17">
        <v>59412129133</v>
      </c>
      <c r="G157" s="17">
        <f t="shared" si="13"/>
        <v>5941212913.3000002</v>
      </c>
      <c r="H157" s="17">
        <f t="shared" si="14"/>
        <v>59412129133</v>
      </c>
      <c r="I157" s="17">
        <v>0</v>
      </c>
    </row>
    <row r="158" spans="1:9" x14ac:dyDescent="0.25">
      <c r="A158" s="9" t="str">
        <f t="shared" si="12"/>
        <v>ENT - Inversión</v>
      </c>
      <c r="D158" s="12" t="s">
        <v>3</v>
      </c>
      <c r="E158" s="12" t="s">
        <v>15</v>
      </c>
      <c r="F158" s="17">
        <v>2881433837</v>
      </c>
      <c r="G158" s="17">
        <f t="shared" si="13"/>
        <v>288143383.69999999</v>
      </c>
      <c r="H158" s="17">
        <f t="shared" si="14"/>
        <v>2185733837</v>
      </c>
      <c r="I158" s="17">
        <v>69570000</v>
      </c>
    </row>
    <row r="159" spans="1:9" x14ac:dyDescent="0.25">
      <c r="A159" s="9" t="str">
        <f t="shared" si="12"/>
        <v xml:space="preserve"> - </v>
      </c>
    </row>
    <row r="160" spans="1:9" x14ac:dyDescent="0.25">
      <c r="A160" s="9" t="str">
        <f t="shared" si="12"/>
        <v xml:space="preserve"> - </v>
      </c>
    </row>
    <row r="161" spans="1:1" x14ac:dyDescent="0.25">
      <c r="A161" s="9" t="str">
        <f t="shared" si="12"/>
        <v xml:space="preserve"> - </v>
      </c>
    </row>
    <row r="162" spans="1:1" x14ac:dyDescent="0.25">
      <c r="A162" s="9" t="str">
        <f t="shared" si="12"/>
        <v xml:space="preserve"> - </v>
      </c>
    </row>
    <row r="163" spans="1:1" x14ac:dyDescent="0.25">
      <c r="A163" s="9" t="str">
        <f t="shared" si="12"/>
        <v xml:space="preserve"> - </v>
      </c>
    </row>
    <row r="164" spans="1:1" x14ac:dyDescent="0.25">
      <c r="A164" s="9" t="str">
        <f t="shared" si="12"/>
        <v xml:space="preserve"> - </v>
      </c>
    </row>
    <row r="165" spans="1:1" x14ac:dyDescent="0.25">
      <c r="A165" s="9" t="str">
        <f t="shared" si="12"/>
        <v xml:space="preserve"> - </v>
      </c>
    </row>
    <row r="166" spans="1:1" x14ac:dyDescent="0.25">
      <c r="A166" s="9" t="str">
        <f t="shared" si="12"/>
        <v xml:space="preserve"> - </v>
      </c>
    </row>
    <row r="167" spans="1:1" x14ac:dyDescent="0.25">
      <c r="A167" s="9" t="str">
        <f t="shared" si="12"/>
        <v xml:space="preserve"> - </v>
      </c>
    </row>
    <row r="168" spans="1:1" x14ac:dyDescent="0.25">
      <c r="A168" s="9" t="str">
        <f t="shared" si="12"/>
        <v xml:space="preserve"> - </v>
      </c>
    </row>
    <row r="169" spans="1:1" x14ac:dyDescent="0.25">
      <c r="A169" s="9" t="str">
        <f t="shared" si="12"/>
        <v xml:space="preserve"> - </v>
      </c>
    </row>
    <row r="170" spans="1:1" x14ac:dyDescent="0.25">
      <c r="A170" s="9" t="str">
        <f t="shared" si="12"/>
        <v xml:space="preserve"> - </v>
      </c>
    </row>
    <row r="171" spans="1:1" x14ac:dyDescent="0.25">
      <c r="A171" s="9" t="str">
        <f t="shared" si="12"/>
        <v xml:space="preserve"> - </v>
      </c>
    </row>
    <row r="172" spans="1:1" x14ac:dyDescent="0.25">
      <c r="A172" s="9" t="str">
        <f t="shared" si="12"/>
        <v xml:space="preserve"> - </v>
      </c>
    </row>
    <row r="173" spans="1:1" x14ac:dyDescent="0.25">
      <c r="A173" s="9" t="str">
        <f t="shared" si="12"/>
        <v xml:space="preserve"> - </v>
      </c>
    </row>
    <row r="174" spans="1:1" x14ac:dyDescent="0.25">
      <c r="A174" s="9" t="str">
        <f t="shared" si="12"/>
        <v xml:space="preserve"> - </v>
      </c>
    </row>
    <row r="175" spans="1:1" x14ac:dyDescent="0.25">
      <c r="A175" s="9" t="str">
        <f t="shared" si="12"/>
        <v xml:space="preserve"> - </v>
      </c>
    </row>
    <row r="176" spans="1:1" x14ac:dyDescent="0.25">
      <c r="A176" s="9" t="str">
        <f t="shared" si="12"/>
        <v xml:space="preserve"> - </v>
      </c>
    </row>
    <row r="177" spans="1:1" x14ac:dyDescent="0.25">
      <c r="A177" s="9" t="str">
        <f t="shared" si="12"/>
        <v xml:space="preserve"> - </v>
      </c>
    </row>
    <row r="178" spans="1:1" x14ac:dyDescent="0.25">
      <c r="A178" s="9" t="str">
        <f t="shared" si="12"/>
        <v xml:space="preserve"> - </v>
      </c>
    </row>
    <row r="179" spans="1:1" x14ac:dyDescent="0.25">
      <c r="A179" s="9" t="str">
        <f t="shared" si="12"/>
        <v xml:space="preserve"> - </v>
      </c>
    </row>
    <row r="180" spans="1:1" x14ac:dyDescent="0.25">
      <c r="A180" s="9" t="str">
        <f t="shared" si="12"/>
        <v xml:space="preserve"> - </v>
      </c>
    </row>
    <row r="181" spans="1:1" x14ac:dyDescent="0.25">
      <c r="A181" s="9" t="str">
        <f t="shared" si="12"/>
        <v xml:space="preserve"> - </v>
      </c>
    </row>
    <row r="182" spans="1:1" x14ac:dyDescent="0.25">
      <c r="A182" s="9" t="str">
        <f t="shared" si="12"/>
        <v xml:space="preserve"> - </v>
      </c>
    </row>
    <row r="183" spans="1:1" x14ac:dyDescent="0.25">
      <c r="A183" s="9" t="str">
        <f t="shared" si="12"/>
        <v xml:space="preserve"> - </v>
      </c>
    </row>
    <row r="184" spans="1:1" x14ac:dyDescent="0.25">
      <c r="A184" s="9" t="str">
        <f t="shared" si="12"/>
        <v xml:space="preserve"> - </v>
      </c>
    </row>
    <row r="185" spans="1:1" x14ac:dyDescent="0.25">
      <c r="A185" s="9" t="str">
        <f t="shared" si="12"/>
        <v xml:space="preserve"> - </v>
      </c>
    </row>
    <row r="186" spans="1:1" x14ac:dyDescent="0.25">
      <c r="A186" s="9" t="str">
        <f t="shared" si="12"/>
        <v xml:space="preserve"> - </v>
      </c>
    </row>
    <row r="187" spans="1:1" x14ac:dyDescent="0.25">
      <c r="A187" s="9" t="str">
        <f t="shared" si="12"/>
        <v xml:space="preserve"> - </v>
      </c>
    </row>
    <row r="188" spans="1:1" x14ac:dyDescent="0.25">
      <c r="A188" s="9" t="str">
        <f t="shared" si="12"/>
        <v xml:space="preserve"> - </v>
      </c>
    </row>
    <row r="189" spans="1:1" x14ac:dyDescent="0.25">
      <c r="A189" s="9" t="str">
        <f t="shared" si="12"/>
        <v xml:space="preserve"> - </v>
      </c>
    </row>
    <row r="190" spans="1:1" x14ac:dyDescent="0.25">
      <c r="A190" s="9" t="str">
        <f t="shared" si="12"/>
        <v xml:space="preserve"> - </v>
      </c>
    </row>
    <row r="191" spans="1:1" x14ac:dyDescent="0.25">
      <c r="A191" s="9" t="str">
        <f t="shared" si="12"/>
        <v xml:space="preserve"> - </v>
      </c>
    </row>
    <row r="192" spans="1:1" x14ac:dyDescent="0.25">
      <c r="A192" s="9" t="str">
        <f t="shared" si="12"/>
        <v xml:space="preserve"> - </v>
      </c>
    </row>
    <row r="193" spans="1:1" x14ac:dyDescent="0.25">
      <c r="A193" s="9" t="str">
        <f t="shared" si="12"/>
        <v xml:space="preserve"> - </v>
      </c>
    </row>
    <row r="194" spans="1:1" x14ac:dyDescent="0.25">
      <c r="A194" s="9" t="str">
        <f t="shared" si="12"/>
        <v xml:space="preserve"> - </v>
      </c>
    </row>
    <row r="195" spans="1:1" x14ac:dyDescent="0.25">
      <c r="A195" s="9" t="str">
        <f t="shared" si="12"/>
        <v xml:space="preserve"> - </v>
      </c>
    </row>
    <row r="196" spans="1:1" x14ac:dyDescent="0.25">
      <c r="A196" s="9" t="str">
        <f t="shared" ref="A196:A200" si="15">D196&amp;" - "&amp;E196</f>
        <v xml:space="preserve"> - </v>
      </c>
    </row>
    <row r="197" spans="1:1" x14ac:dyDescent="0.25">
      <c r="A197" s="9" t="str">
        <f t="shared" si="15"/>
        <v xml:space="preserve"> - </v>
      </c>
    </row>
    <row r="198" spans="1:1" x14ac:dyDescent="0.25">
      <c r="A198" s="9" t="str">
        <f t="shared" si="15"/>
        <v xml:space="preserve"> - </v>
      </c>
    </row>
    <row r="199" spans="1:1" x14ac:dyDescent="0.25">
      <c r="A199" s="9" t="str">
        <f t="shared" si="15"/>
        <v xml:space="preserve"> - </v>
      </c>
    </row>
    <row r="200" spans="1:1" x14ac:dyDescent="0.25">
      <c r="A200" s="9" t="str">
        <f t="shared" si="15"/>
        <v xml:space="preserve"> - </v>
      </c>
    </row>
  </sheetData>
  <dataValidations count="2">
    <dataValidation type="list" allowBlank="1" showInputMessage="1" showErrorMessage="1" sqref="E3:E1048576">
      <formula1>Presupuesto</formula1>
    </dataValidation>
    <dataValidation type="list" allowBlank="1" showInputMessage="1" showErrorMessage="1" sqref="D3:D1048576">
      <formula1>NegocioFilial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200"/>
  <sheetViews>
    <sheetView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I3" sqref="I3:I149"/>
    </sheetView>
  </sheetViews>
  <sheetFormatPr baseColWidth="10" defaultColWidth="9.140625" defaultRowHeight="11.25" x14ac:dyDescent="0.25"/>
  <cols>
    <col min="1" max="1" width="16.85546875" style="9" hidden="1" customWidth="1"/>
    <col min="2" max="2" width="55.5703125" style="1" customWidth="1"/>
    <col min="3" max="3" width="1.7109375" style="1" customWidth="1"/>
    <col min="4" max="4" width="17.5703125" style="1" bestFit="1" customWidth="1"/>
    <col min="5" max="5" width="16.140625" style="1" customWidth="1"/>
    <col min="6" max="9" width="15.7109375" style="3" customWidth="1"/>
    <col min="10" max="11" width="9.140625" style="1"/>
    <col min="12" max="12" width="19" style="3" bestFit="1" customWidth="1"/>
    <col min="13" max="16384" width="9.140625" style="1"/>
  </cols>
  <sheetData>
    <row r="1" spans="1:9" x14ac:dyDescent="0.25">
      <c r="D1" s="5" t="s">
        <v>16</v>
      </c>
      <c r="E1" s="3">
        <v>10</v>
      </c>
    </row>
    <row r="2" spans="1:9" x14ac:dyDescent="0.25">
      <c r="A2" s="10" t="s">
        <v>27</v>
      </c>
      <c r="B2" s="2" t="s">
        <v>4</v>
      </c>
      <c r="D2" s="2" t="s">
        <v>9</v>
      </c>
      <c r="E2" s="2" t="s">
        <v>12</v>
      </c>
      <c r="F2" s="4" t="s">
        <v>5</v>
      </c>
      <c r="G2" s="4" t="s">
        <v>6</v>
      </c>
      <c r="H2" s="4" t="s">
        <v>7</v>
      </c>
      <c r="I2" s="4" t="s">
        <v>8</v>
      </c>
    </row>
    <row r="3" spans="1:9" x14ac:dyDescent="0.25">
      <c r="A3" s="9" t="str">
        <f>D3&amp;" - "&amp;E3</f>
        <v>MERCADO NACIONAL - Operación</v>
      </c>
      <c r="D3" s="1" t="s">
        <v>11</v>
      </c>
      <c r="E3" s="1" t="s">
        <v>13</v>
      </c>
      <c r="F3" s="3">
        <v>134711800000</v>
      </c>
      <c r="G3" s="3">
        <f>F3/$E$1</f>
        <v>13471180000</v>
      </c>
      <c r="H3" s="3">
        <f>F3-I3*$E$1</f>
        <v>134058800000</v>
      </c>
      <c r="I3" s="3">
        <v>65300000</v>
      </c>
    </row>
    <row r="4" spans="1:9" x14ac:dyDescent="0.25">
      <c r="A4" s="9" t="str">
        <f t="shared" ref="A4:A67" si="0">D4&amp;" - "&amp;E4</f>
        <v>MERCADO NACIONAL - OCyG</v>
      </c>
      <c r="D4" s="1" t="s">
        <v>11</v>
      </c>
      <c r="E4" s="1" t="s">
        <v>14</v>
      </c>
      <c r="F4" s="3">
        <v>235013454200</v>
      </c>
      <c r="G4" s="3">
        <f t="shared" ref="G4:G5" si="1">F4/$E$1</f>
        <v>23501345420</v>
      </c>
      <c r="H4" s="3">
        <f t="shared" ref="H4:H5" si="2">F4-I4*$E$1</f>
        <v>234938454200</v>
      </c>
      <c r="I4" s="3">
        <v>7500000</v>
      </c>
    </row>
    <row r="5" spans="1:9" x14ac:dyDescent="0.25">
      <c r="A5" s="9" t="str">
        <f t="shared" si="0"/>
        <v>MERCADO NACIONAL - Inversión</v>
      </c>
      <c r="D5" s="1" t="s">
        <v>11</v>
      </c>
      <c r="E5" s="1" t="s">
        <v>15</v>
      </c>
      <c r="F5" s="3">
        <v>6157890101</v>
      </c>
      <c r="G5" s="3">
        <f t="shared" si="1"/>
        <v>615789010.10000002</v>
      </c>
      <c r="H5" s="3">
        <f t="shared" si="2"/>
        <v>5318135701</v>
      </c>
      <c r="I5" s="3">
        <v>83975440</v>
      </c>
    </row>
    <row r="6" spans="1:9" x14ac:dyDescent="0.25">
      <c r="A6" s="9" t="str">
        <f t="shared" si="0"/>
        <v xml:space="preserve"> - </v>
      </c>
    </row>
    <row r="7" spans="1:9" x14ac:dyDescent="0.25">
      <c r="A7" s="9" t="str">
        <f t="shared" si="0"/>
        <v xml:space="preserve"> - </v>
      </c>
    </row>
    <row r="8" spans="1:9" x14ac:dyDescent="0.25">
      <c r="A8" s="9" t="str">
        <f t="shared" si="0"/>
        <v xml:space="preserve"> - </v>
      </c>
    </row>
    <row r="9" spans="1:9" x14ac:dyDescent="0.25">
      <c r="A9" s="9" t="str">
        <f t="shared" si="0"/>
        <v xml:space="preserve"> - </v>
      </c>
    </row>
    <row r="10" spans="1:9" x14ac:dyDescent="0.25">
      <c r="A10" s="9" t="str">
        <f t="shared" si="0"/>
        <v xml:space="preserve"> - </v>
      </c>
    </row>
    <row r="11" spans="1:9" x14ac:dyDescent="0.25">
      <c r="A11" s="9" t="str">
        <f t="shared" si="0"/>
        <v xml:space="preserve"> - </v>
      </c>
    </row>
    <row r="12" spans="1:9" x14ac:dyDescent="0.25">
      <c r="A12" s="9" t="str">
        <f t="shared" si="0"/>
        <v xml:space="preserve"> - </v>
      </c>
    </row>
    <row r="13" spans="1:9" x14ac:dyDescent="0.25">
      <c r="A13" s="9" t="str">
        <f t="shared" si="0"/>
        <v xml:space="preserve"> - </v>
      </c>
    </row>
    <row r="14" spans="1:9" x14ac:dyDescent="0.25">
      <c r="A14" s="9" t="str">
        <f t="shared" si="0"/>
        <v xml:space="preserve"> - </v>
      </c>
    </row>
    <row r="15" spans="1:9" x14ac:dyDescent="0.25">
      <c r="A15" s="9" t="str">
        <f t="shared" si="0"/>
        <v xml:space="preserve"> - </v>
      </c>
    </row>
    <row r="16" spans="1:9" x14ac:dyDescent="0.25">
      <c r="A16" s="9" t="str">
        <f t="shared" si="0"/>
        <v xml:space="preserve"> - </v>
      </c>
    </row>
    <row r="17" spans="1:1" x14ac:dyDescent="0.25">
      <c r="A17" s="9" t="str">
        <f t="shared" si="0"/>
        <v xml:space="preserve"> - </v>
      </c>
    </row>
    <row r="18" spans="1:1" x14ac:dyDescent="0.25">
      <c r="A18" s="9" t="str">
        <f t="shared" si="0"/>
        <v xml:space="preserve"> - </v>
      </c>
    </row>
    <row r="19" spans="1:1" x14ac:dyDescent="0.25">
      <c r="A19" s="9" t="str">
        <f t="shared" si="0"/>
        <v xml:space="preserve"> - </v>
      </c>
    </row>
    <row r="20" spans="1:1" x14ac:dyDescent="0.25">
      <c r="A20" s="9" t="str">
        <f t="shared" si="0"/>
        <v xml:space="preserve"> - </v>
      </c>
    </row>
    <row r="21" spans="1:1" x14ac:dyDescent="0.25">
      <c r="A21" s="9" t="str">
        <f t="shared" si="0"/>
        <v xml:space="preserve"> - </v>
      </c>
    </row>
    <row r="22" spans="1:1" x14ac:dyDescent="0.25">
      <c r="A22" s="9" t="str">
        <f t="shared" si="0"/>
        <v xml:space="preserve"> - </v>
      </c>
    </row>
    <row r="23" spans="1:1" x14ac:dyDescent="0.25">
      <c r="A23" s="9" t="str">
        <f t="shared" si="0"/>
        <v xml:space="preserve"> - </v>
      </c>
    </row>
    <row r="24" spans="1:1" x14ac:dyDescent="0.25">
      <c r="A24" s="9" t="str">
        <f t="shared" si="0"/>
        <v xml:space="preserve"> - </v>
      </c>
    </row>
    <row r="25" spans="1:1" x14ac:dyDescent="0.25">
      <c r="A25" s="9" t="str">
        <f t="shared" si="0"/>
        <v xml:space="preserve"> - </v>
      </c>
    </row>
    <row r="26" spans="1:1" x14ac:dyDescent="0.25">
      <c r="A26" s="9" t="str">
        <f t="shared" si="0"/>
        <v xml:space="preserve"> - </v>
      </c>
    </row>
    <row r="27" spans="1:1" x14ac:dyDescent="0.25">
      <c r="A27" s="9" t="str">
        <f t="shared" si="0"/>
        <v xml:space="preserve"> - </v>
      </c>
    </row>
    <row r="28" spans="1:1" x14ac:dyDescent="0.25">
      <c r="A28" s="9" t="str">
        <f t="shared" si="0"/>
        <v xml:space="preserve"> - </v>
      </c>
    </row>
    <row r="29" spans="1:1" x14ac:dyDescent="0.25">
      <c r="A29" s="9" t="str">
        <f t="shared" si="0"/>
        <v xml:space="preserve"> - </v>
      </c>
    </row>
    <row r="30" spans="1:1" x14ac:dyDescent="0.25">
      <c r="A30" s="9" t="str">
        <f t="shared" si="0"/>
        <v xml:space="preserve"> - </v>
      </c>
    </row>
    <row r="31" spans="1:1" x14ac:dyDescent="0.25">
      <c r="A31" s="9" t="str">
        <f t="shared" si="0"/>
        <v xml:space="preserve"> - </v>
      </c>
    </row>
    <row r="32" spans="1:1" x14ac:dyDescent="0.25">
      <c r="A32" s="9" t="str">
        <f t="shared" si="0"/>
        <v xml:space="preserve"> - </v>
      </c>
    </row>
    <row r="33" spans="1:9" x14ac:dyDescent="0.25">
      <c r="A33" s="9" t="str">
        <f t="shared" si="0"/>
        <v xml:space="preserve"> - </v>
      </c>
    </row>
    <row r="34" spans="1:9" x14ac:dyDescent="0.25">
      <c r="A34" s="9" t="str">
        <f t="shared" si="0"/>
        <v xml:space="preserve"> - </v>
      </c>
    </row>
    <row r="35" spans="1:9" x14ac:dyDescent="0.25">
      <c r="A35" s="9" t="str">
        <f t="shared" si="0"/>
        <v xml:space="preserve"> - </v>
      </c>
    </row>
    <row r="36" spans="1:9" x14ac:dyDescent="0.25">
      <c r="A36" s="9" t="str">
        <f t="shared" si="0"/>
        <v xml:space="preserve"> - </v>
      </c>
    </row>
    <row r="37" spans="1:9" x14ac:dyDescent="0.25">
      <c r="A37" s="9" t="str">
        <f t="shared" si="0"/>
        <v xml:space="preserve"> - </v>
      </c>
    </row>
    <row r="38" spans="1:9" x14ac:dyDescent="0.25">
      <c r="A38" s="9" t="str">
        <f t="shared" si="0"/>
        <v>COMERCIO Y SUMINISTRO - Operación</v>
      </c>
      <c r="D38" s="1" t="s">
        <v>2</v>
      </c>
      <c r="E38" s="1" t="s">
        <v>13</v>
      </c>
      <c r="F38" s="3">
        <v>10719787158</v>
      </c>
      <c r="G38" s="3">
        <f t="shared" ref="G38:G39" si="3">F38/$E$1</f>
        <v>1071978715.8</v>
      </c>
      <c r="H38" s="3">
        <f t="shared" ref="H38" si="4">F38-I38*$E$1</f>
        <v>6181000000.3000002</v>
      </c>
      <c r="I38" s="3">
        <v>453878715.76999998</v>
      </c>
    </row>
    <row r="39" spans="1:9" x14ac:dyDescent="0.25">
      <c r="A39" s="9" t="str">
        <f t="shared" si="0"/>
        <v>COMERCIO Y SUMINISTRO - OCyG</v>
      </c>
      <c r="D39" s="1" t="s">
        <v>2</v>
      </c>
      <c r="E39" s="1" t="s">
        <v>14</v>
      </c>
      <c r="F39" s="3">
        <v>253560789956</v>
      </c>
      <c r="G39" s="3">
        <f t="shared" si="3"/>
        <v>25356078995.599998</v>
      </c>
      <c r="H39" s="3">
        <f t="shared" ref="H39" si="5">F39-I39*$E$1</f>
        <v>17466996842.799988</v>
      </c>
      <c r="I39" s="3">
        <v>23609379311.32</v>
      </c>
    </row>
    <row r="40" spans="1:9" x14ac:dyDescent="0.25">
      <c r="A40" s="9" t="str">
        <f t="shared" si="0"/>
        <v xml:space="preserve"> - </v>
      </c>
    </row>
    <row r="41" spans="1:9" x14ac:dyDescent="0.25">
      <c r="A41" s="9" t="str">
        <f t="shared" si="0"/>
        <v xml:space="preserve"> - </v>
      </c>
    </row>
    <row r="42" spans="1:9" x14ac:dyDescent="0.25">
      <c r="A42" s="9" t="str">
        <f t="shared" si="0"/>
        <v xml:space="preserve"> - </v>
      </c>
    </row>
    <row r="43" spans="1:9" x14ac:dyDescent="0.25">
      <c r="A43" s="9" t="str">
        <f t="shared" si="0"/>
        <v xml:space="preserve"> - </v>
      </c>
    </row>
    <row r="44" spans="1:9" x14ac:dyDescent="0.25">
      <c r="A44" s="9" t="str">
        <f t="shared" si="0"/>
        <v xml:space="preserve"> - </v>
      </c>
    </row>
    <row r="45" spans="1:9" x14ac:dyDescent="0.25">
      <c r="A45" s="9" t="str">
        <f t="shared" si="0"/>
        <v xml:space="preserve"> - </v>
      </c>
    </row>
    <row r="46" spans="1:9" x14ac:dyDescent="0.25">
      <c r="A46" s="9" t="str">
        <f t="shared" si="0"/>
        <v xml:space="preserve"> - </v>
      </c>
    </row>
    <row r="47" spans="1:9" x14ac:dyDescent="0.25">
      <c r="A47" s="9" t="str">
        <f t="shared" si="0"/>
        <v xml:space="preserve"> - </v>
      </c>
    </row>
    <row r="48" spans="1:9" x14ac:dyDescent="0.25">
      <c r="A48" s="9" t="str">
        <f t="shared" si="0"/>
        <v xml:space="preserve"> - </v>
      </c>
    </row>
    <row r="49" spans="1:1" x14ac:dyDescent="0.25">
      <c r="A49" s="9" t="str">
        <f t="shared" si="0"/>
        <v xml:space="preserve"> - </v>
      </c>
    </row>
    <row r="50" spans="1:1" x14ac:dyDescent="0.25">
      <c r="A50" s="9" t="str">
        <f t="shared" si="0"/>
        <v xml:space="preserve"> - </v>
      </c>
    </row>
    <row r="51" spans="1:1" x14ac:dyDescent="0.25">
      <c r="A51" s="9" t="str">
        <f t="shared" si="0"/>
        <v xml:space="preserve"> - </v>
      </c>
    </row>
    <row r="52" spans="1:1" x14ac:dyDescent="0.25">
      <c r="A52" s="9" t="str">
        <f t="shared" si="0"/>
        <v xml:space="preserve"> - </v>
      </c>
    </row>
    <row r="53" spans="1:1" x14ac:dyDescent="0.25">
      <c r="A53" s="9" t="str">
        <f t="shared" si="0"/>
        <v xml:space="preserve"> - </v>
      </c>
    </row>
    <row r="54" spans="1:1" x14ac:dyDescent="0.25">
      <c r="A54" s="9" t="str">
        <f t="shared" si="0"/>
        <v xml:space="preserve"> - </v>
      </c>
    </row>
    <row r="55" spans="1:1" x14ac:dyDescent="0.25">
      <c r="A55" s="9" t="str">
        <f t="shared" si="0"/>
        <v xml:space="preserve"> - </v>
      </c>
    </row>
    <row r="56" spans="1:1" x14ac:dyDescent="0.25">
      <c r="A56" s="9" t="str">
        <f t="shared" si="0"/>
        <v xml:space="preserve"> - </v>
      </c>
    </row>
    <row r="57" spans="1:1" x14ac:dyDescent="0.25">
      <c r="A57" s="9" t="str">
        <f t="shared" si="0"/>
        <v xml:space="preserve"> - </v>
      </c>
    </row>
    <row r="58" spans="1:1" x14ac:dyDescent="0.25">
      <c r="A58" s="9" t="str">
        <f t="shared" si="0"/>
        <v xml:space="preserve"> - </v>
      </c>
    </row>
    <row r="59" spans="1:1" x14ac:dyDescent="0.25">
      <c r="A59" s="9" t="str">
        <f t="shared" si="0"/>
        <v xml:space="preserve"> - </v>
      </c>
    </row>
    <row r="60" spans="1:1" x14ac:dyDescent="0.25">
      <c r="A60" s="9" t="str">
        <f t="shared" si="0"/>
        <v xml:space="preserve"> - </v>
      </c>
    </row>
    <row r="61" spans="1:1" x14ac:dyDescent="0.25">
      <c r="A61" s="9" t="str">
        <f t="shared" si="0"/>
        <v xml:space="preserve"> - </v>
      </c>
    </row>
    <row r="62" spans="1:1" x14ac:dyDescent="0.25">
      <c r="A62" s="9" t="str">
        <f t="shared" si="0"/>
        <v xml:space="preserve"> - </v>
      </c>
    </row>
    <row r="63" spans="1:1" x14ac:dyDescent="0.25">
      <c r="A63" s="9" t="str">
        <f t="shared" si="0"/>
        <v xml:space="preserve"> - </v>
      </c>
    </row>
    <row r="64" spans="1:1" x14ac:dyDescent="0.25">
      <c r="A64" s="9" t="str">
        <f t="shared" si="0"/>
        <v xml:space="preserve"> - </v>
      </c>
    </row>
    <row r="65" spans="1:9" x14ac:dyDescent="0.25">
      <c r="A65" s="9" t="str">
        <f t="shared" si="0"/>
        <v>ENT - Operación</v>
      </c>
      <c r="D65" s="1" t="s">
        <v>3</v>
      </c>
      <c r="E65" s="1" t="s">
        <v>13</v>
      </c>
      <c r="F65" s="3">
        <v>60019000000</v>
      </c>
      <c r="G65" s="3">
        <f>F65/$E$1</f>
        <v>6001900000</v>
      </c>
      <c r="H65" s="3">
        <f t="shared" ref="H65:H67" si="6">F65-I65*$E$1</f>
        <v>60019000000</v>
      </c>
      <c r="I65" s="3">
        <v>0</v>
      </c>
    </row>
    <row r="66" spans="1:9" x14ac:dyDescent="0.25">
      <c r="A66" s="9" t="str">
        <f t="shared" si="0"/>
        <v>ENT - OCyG</v>
      </c>
      <c r="D66" s="1" t="s">
        <v>3</v>
      </c>
      <c r="E66" s="1" t="s">
        <v>14</v>
      </c>
      <c r="F66" s="3">
        <v>-57968000000</v>
      </c>
      <c r="G66" s="3">
        <f t="shared" ref="G66:G67" si="7">F66/$E$1</f>
        <v>-5796800000</v>
      </c>
      <c r="H66" s="3">
        <f t="shared" si="6"/>
        <v>-57968000000</v>
      </c>
      <c r="I66" s="3">
        <v>0</v>
      </c>
    </row>
    <row r="67" spans="1:9" x14ac:dyDescent="0.25">
      <c r="A67" s="9" t="str">
        <f t="shared" si="0"/>
        <v>ENT - Inversión</v>
      </c>
      <c r="D67" s="1" t="s">
        <v>3</v>
      </c>
      <c r="E67" s="1" t="s">
        <v>15</v>
      </c>
      <c r="F67" s="3">
        <v>1998228592</v>
      </c>
      <c r="G67" s="3">
        <f t="shared" si="7"/>
        <v>199822859.19999999</v>
      </c>
      <c r="H67" s="3">
        <f t="shared" si="6"/>
        <v>1302528592</v>
      </c>
      <c r="I67" s="3">
        <v>69570000</v>
      </c>
    </row>
    <row r="68" spans="1:9" x14ac:dyDescent="0.25">
      <c r="A68" s="9" t="str">
        <f t="shared" ref="A68:A131" si="8">D68&amp;" - "&amp;E68</f>
        <v xml:space="preserve"> - </v>
      </c>
    </row>
    <row r="69" spans="1:9" x14ac:dyDescent="0.25">
      <c r="A69" s="9" t="str">
        <f t="shared" si="8"/>
        <v xml:space="preserve"> - </v>
      </c>
    </row>
    <row r="70" spans="1:9" x14ac:dyDescent="0.25">
      <c r="A70" s="9" t="str">
        <f t="shared" si="8"/>
        <v xml:space="preserve"> - </v>
      </c>
    </row>
    <row r="71" spans="1:9" x14ac:dyDescent="0.25">
      <c r="A71" s="9" t="str">
        <f t="shared" si="8"/>
        <v xml:space="preserve"> - </v>
      </c>
    </row>
    <row r="72" spans="1:9" x14ac:dyDescent="0.25">
      <c r="A72" s="9" t="str">
        <f t="shared" si="8"/>
        <v xml:space="preserve"> - </v>
      </c>
    </row>
    <row r="73" spans="1:9" x14ac:dyDescent="0.25">
      <c r="A73" s="9" t="str">
        <f t="shared" si="8"/>
        <v xml:space="preserve"> - </v>
      </c>
    </row>
    <row r="74" spans="1:9" x14ac:dyDescent="0.25">
      <c r="A74" s="9" t="str">
        <f t="shared" si="8"/>
        <v xml:space="preserve"> - </v>
      </c>
    </row>
    <row r="75" spans="1:9" x14ac:dyDescent="0.25">
      <c r="A75" s="9" t="str">
        <f t="shared" si="8"/>
        <v xml:space="preserve"> - </v>
      </c>
    </row>
    <row r="76" spans="1:9" x14ac:dyDescent="0.25">
      <c r="A76" s="9" t="str">
        <f t="shared" si="8"/>
        <v xml:space="preserve"> - </v>
      </c>
    </row>
    <row r="77" spans="1:9" x14ac:dyDescent="0.25">
      <c r="A77" s="9" t="str">
        <f t="shared" si="8"/>
        <v xml:space="preserve"> - </v>
      </c>
    </row>
    <row r="78" spans="1:9" x14ac:dyDescent="0.25">
      <c r="A78" s="9" t="str">
        <f t="shared" si="8"/>
        <v xml:space="preserve"> - </v>
      </c>
    </row>
    <row r="79" spans="1:9" x14ac:dyDescent="0.25">
      <c r="A79" s="9" t="str">
        <f t="shared" si="8"/>
        <v xml:space="preserve"> - </v>
      </c>
    </row>
    <row r="80" spans="1:9" x14ac:dyDescent="0.25">
      <c r="A80" s="9" t="str">
        <f t="shared" si="8"/>
        <v xml:space="preserve"> - </v>
      </c>
    </row>
    <row r="81" spans="1:9" x14ac:dyDescent="0.25">
      <c r="A81" s="9" t="str">
        <f t="shared" si="8"/>
        <v xml:space="preserve"> - </v>
      </c>
    </row>
    <row r="82" spans="1:9" x14ac:dyDescent="0.25">
      <c r="A82" s="9" t="str">
        <f t="shared" si="8"/>
        <v xml:space="preserve"> - </v>
      </c>
    </row>
    <row r="83" spans="1:9" x14ac:dyDescent="0.25">
      <c r="A83" s="9" t="str">
        <f t="shared" si="8"/>
        <v xml:space="preserve"> - </v>
      </c>
    </row>
    <row r="84" spans="1:9" x14ac:dyDescent="0.25">
      <c r="A84" s="9" t="str">
        <f t="shared" si="8"/>
        <v xml:space="preserve"> - </v>
      </c>
    </row>
    <row r="85" spans="1:9" x14ac:dyDescent="0.25">
      <c r="A85" s="9" t="str">
        <f t="shared" si="8"/>
        <v xml:space="preserve"> - </v>
      </c>
    </row>
    <row r="86" spans="1:9" x14ac:dyDescent="0.25">
      <c r="A86" s="9" t="str">
        <f t="shared" si="8"/>
        <v xml:space="preserve"> - </v>
      </c>
    </row>
    <row r="87" spans="1:9" x14ac:dyDescent="0.25">
      <c r="A87" s="9" t="str">
        <f t="shared" si="8"/>
        <v xml:space="preserve"> - </v>
      </c>
    </row>
    <row r="88" spans="1:9" x14ac:dyDescent="0.25">
      <c r="A88" s="9" t="str">
        <f t="shared" si="8"/>
        <v xml:space="preserve"> - </v>
      </c>
    </row>
    <row r="89" spans="1:9" x14ac:dyDescent="0.25">
      <c r="A89" s="9" t="str">
        <f t="shared" si="8"/>
        <v xml:space="preserve"> - </v>
      </c>
    </row>
    <row r="90" spans="1:9" x14ac:dyDescent="0.25">
      <c r="A90" s="9" t="str">
        <f t="shared" si="8"/>
        <v xml:space="preserve"> - </v>
      </c>
    </row>
    <row r="91" spans="1:9" x14ac:dyDescent="0.25">
      <c r="A91" s="9" t="str">
        <f t="shared" si="8"/>
        <v xml:space="preserve"> - </v>
      </c>
    </row>
    <row r="92" spans="1:9" x14ac:dyDescent="0.25">
      <c r="A92" s="9" t="str">
        <f t="shared" si="8"/>
        <v xml:space="preserve"> - </v>
      </c>
    </row>
    <row r="93" spans="1:9" x14ac:dyDescent="0.25">
      <c r="A93" s="9" t="str">
        <f t="shared" si="8"/>
        <v>COMERCIT - Operación</v>
      </c>
      <c r="D93" s="1" t="s">
        <v>18</v>
      </c>
      <c r="E93" s="1" t="s">
        <v>13</v>
      </c>
      <c r="F93" s="3">
        <v>133349470</v>
      </c>
      <c r="G93" s="3">
        <f t="shared" ref="G93:G94" si="9">F93/$E$1</f>
        <v>13334947</v>
      </c>
      <c r="H93" s="3">
        <f t="shared" ref="H93:H94" si="10">F93-I93*$E$1</f>
        <v>5800000</v>
      </c>
      <c r="I93" s="3">
        <v>12754947</v>
      </c>
    </row>
    <row r="94" spans="1:9" x14ac:dyDescent="0.25">
      <c r="A94" s="9" t="str">
        <f t="shared" si="8"/>
        <v>COMERCIT - OCyG</v>
      </c>
      <c r="D94" s="1" t="s">
        <v>18</v>
      </c>
      <c r="E94" s="1" t="s">
        <v>14</v>
      </c>
      <c r="F94" s="3">
        <v>1529182100</v>
      </c>
      <c r="G94" s="3">
        <f t="shared" si="9"/>
        <v>152918210</v>
      </c>
      <c r="H94" s="3">
        <f t="shared" si="10"/>
        <v>0</v>
      </c>
      <c r="I94" s="3">
        <v>152918210</v>
      </c>
    </row>
    <row r="95" spans="1:9" x14ac:dyDescent="0.25">
      <c r="A95" s="9" t="str">
        <f t="shared" si="8"/>
        <v xml:space="preserve"> - </v>
      </c>
    </row>
    <row r="96" spans="1:9" x14ac:dyDescent="0.25">
      <c r="A96" s="9" t="str">
        <f t="shared" si="8"/>
        <v xml:space="preserve"> - </v>
      </c>
    </row>
    <row r="97" spans="1:1" x14ac:dyDescent="0.25">
      <c r="A97" s="9" t="str">
        <f t="shared" si="8"/>
        <v xml:space="preserve"> - </v>
      </c>
    </row>
    <row r="98" spans="1:1" x14ac:dyDescent="0.25">
      <c r="A98" s="9" t="str">
        <f t="shared" si="8"/>
        <v xml:space="preserve"> - </v>
      </c>
    </row>
    <row r="99" spans="1:1" x14ac:dyDescent="0.25">
      <c r="A99" s="9" t="str">
        <f t="shared" si="8"/>
        <v xml:space="preserve"> - </v>
      </c>
    </row>
    <row r="100" spans="1:1" x14ac:dyDescent="0.25">
      <c r="A100" s="9" t="str">
        <f t="shared" si="8"/>
        <v xml:space="preserve"> - </v>
      </c>
    </row>
    <row r="101" spans="1:1" x14ac:dyDescent="0.25">
      <c r="A101" s="9" t="str">
        <f t="shared" si="8"/>
        <v xml:space="preserve"> - </v>
      </c>
    </row>
    <row r="102" spans="1:1" x14ac:dyDescent="0.25">
      <c r="A102" s="9" t="str">
        <f t="shared" si="8"/>
        <v xml:space="preserve"> - </v>
      </c>
    </row>
    <row r="103" spans="1:1" x14ac:dyDescent="0.25">
      <c r="A103" s="9" t="str">
        <f t="shared" si="8"/>
        <v xml:space="preserve"> - </v>
      </c>
    </row>
    <row r="104" spans="1:1" x14ac:dyDescent="0.25">
      <c r="A104" s="9" t="str">
        <f t="shared" si="8"/>
        <v xml:space="preserve"> - </v>
      </c>
    </row>
    <row r="105" spans="1:1" x14ac:dyDescent="0.25">
      <c r="A105" s="9" t="str">
        <f t="shared" si="8"/>
        <v xml:space="preserve"> - </v>
      </c>
    </row>
    <row r="106" spans="1:1" x14ac:dyDescent="0.25">
      <c r="A106" s="9" t="str">
        <f t="shared" si="8"/>
        <v xml:space="preserve"> - </v>
      </c>
    </row>
    <row r="107" spans="1:1" x14ac:dyDescent="0.25">
      <c r="A107" s="9" t="str">
        <f t="shared" si="8"/>
        <v xml:space="preserve"> - </v>
      </c>
    </row>
    <row r="108" spans="1:1" x14ac:dyDescent="0.25">
      <c r="A108" s="9" t="str">
        <f t="shared" si="8"/>
        <v xml:space="preserve"> - </v>
      </c>
    </row>
    <row r="109" spans="1:1" x14ac:dyDescent="0.25">
      <c r="A109" s="9" t="str">
        <f t="shared" si="8"/>
        <v xml:space="preserve"> - </v>
      </c>
    </row>
    <row r="110" spans="1:1" x14ac:dyDescent="0.25">
      <c r="A110" s="9" t="str">
        <f t="shared" si="8"/>
        <v xml:space="preserve"> - </v>
      </c>
    </row>
    <row r="111" spans="1:1" x14ac:dyDescent="0.25">
      <c r="A111" s="9" t="str">
        <f t="shared" si="8"/>
        <v xml:space="preserve"> - </v>
      </c>
    </row>
    <row r="112" spans="1:1" x14ac:dyDescent="0.25">
      <c r="A112" s="9" t="str">
        <f t="shared" si="8"/>
        <v xml:space="preserve"> - </v>
      </c>
    </row>
    <row r="113" spans="1:9" x14ac:dyDescent="0.25">
      <c r="A113" s="9" t="str">
        <f t="shared" si="8"/>
        <v xml:space="preserve"> - </v>
      </c>
    </row>
    <row r="114" spans="1:9" x14ac:dyDescent="0.25">
      <c r="A114" s="9" t="str">
        <f t="shared" si="8"/>
        <v xml:space="preserve"> - </v>
      </c>
    </row>
    <row r="115" spans="1:9" x14ac:dyDescent="0.25">
      <c r="A115" s="9" t="str">
        <f t="shared" si="8"/>
        <v xml:space="preserve"> - </v>
      </c>
    </row>
    <row r="116" spans="1:9" x14ac:dyDescent="0.25">
      <c r="A116" s="9" t="str">
        <f t="shared" si="8"/>
        <v xml:space="preserve"> - </v>
      </c>
    </row>
    <row r="117" spans="1:9" x14ac:dyDescent="0.25">
      <c r="A117" s="9" t="str">
        <f t="shared" si="8"/>
        <v xml:space="preserve"> - </v>
      </c>
    </row>
    <row r="118" spans="1:9" x14ac:dyDescent="0.25">
      <c r="A118" s="9" t="str">
        <f t="shared" si="8"/>
        <v xml:space="preserve"> - </v>
      </c>
    </row>
    <row r="119" spans="1:9" x14ac:dyDescent="0.25">
      <c r="A119" s="9" t="str">
        <f t="shared" si="8"/>
        <v>PDV MARINA - Operación</v>
      </c>
      <c r="D119" s="1" t="s">
        <v>0</v>
      </c>
      <c r="E119" s="1" t="s">
        <v>13</v>
      </c>
      <c r="F119" s="3">
        <v>52366603283</v>
      </c>
      <c r="G119" s="3">
        <f t="shared" ref="G119:G121" si="11">F119/$E$1</f>
        <v>5236660328.3000002</v>
      </c>
      <c r="H119" s="3">
        <f t="shared" ref="H119:H121" si="12">F119-I119*$E$1</f>
        <v>49135246889.099998</v>
      </c>
      <c r="I119" s="3">
        <v>323135639.38999999</v>
      </c>
    </row>
    <row r="120" spans="1:9" x14ac:dyDescent="0.25">
      <c r="A120" s="9" t="str">
        <f t="shared" si="8"/>
        <v>PDV MARINA - OCyG</v>
      </c>
      <c r="D120" s="1" t="s">
        <v>0</v>
      </c>
      <c r="E120" s="1" t="s">
        <v>14</v>
      </c>
      <c r="F120" s="3">
        <v>-49914346638</v>
      </c>
      <c r="G120" s="3">
        <f t="shared" si="11"/>
        <v>-4991434663.8000002</v>
      </c>
      <c r="H120" s="3">
        <f t="shared" si="12"/>
        <v>-49914346638</v>
      </c>
      <c r="I120" s="3">
        <v>0</v>
      </c>
    </row>
    <row r="121" spans="1:9" x14ac:dyDescent="0.25">
      <c r="A121" s="9" t="str">
        <f t="shared" si="8"/>
        <v>PDV MARINA - Inversión</v>
      </c>
      <c r="D121" s="1" t="s">
        <v>0</v>
      </c>
      <c r="E121" s="1" t="s">
        <v>15</v>
      </c>
      <c r="F121" s="3">
        <v>330000000</v>
      </c>
      <c r="G121" s="3">
        <f t="shared" si="11"/>
        <v>33000000</v>
      </c>
      <c r="H121" s="3">
        <f t="shared" si="12"/>
        <v>0</v>
      </c>
      <c r="I121" s="3">
        <v>33000000</v>
      </c>
    </row>
    <row r="122" spans="1:9" x14ac:dyDescent="0.25">
      <c r="A122" s="9" t="str">
        <f t="shared" si="8"/>
        <v xml:space="preserve"> - </v>
      </c>
    </row>
    <row r="123" spans="1:9" x14ac:dyDescent="0.25">
      <c r="A123" s="9" t="str">
        <f t="shared" si="8"/>
        <v xml:space="preserve"> - </v>
      </c>
    </row>
    <row r="124" spans="1:9" x14ac:dyDescent="0.25">
      <c r="A124" s="9" t="str">
        <f t="shared" si="8"/>
        <v xml:space="preserve"> - </v>
      </c>
    </row>
    <row r="125" spans="1:9" x14ac:dyDescent="0.25">
      <c r="A125" s="9" t="str">
        <f t="shared" si="8"/>
        <v xml:space="preserve"> - </v>
      </c>
    </row>
    <row r="126" spans="1:9" x14ac:dyDescent="0.25">
      <c r="A126" s="9" t="str">
        <f t="shared" si="8"/>
        <v xml:space="preserve"> - </v>
      </c>
    </row>
    <row r="127" spans="1:9" x14ac:dyDescent="0.25">
      <c r="A127" s="9" t="str">
        <f t="shared" si="8"/>
        <v xml:space="preserve"> - </v>
      </c>
    </row>
    <row r="128" spans="1:9" x14ac:dyDescent="0.25">
      <c r="A128" s="9" t="str">
        <f t="shared" si="8"/>
        <v xml:space="preserve"> - </v>
      </c>
    </row>
    <row r="129" spans="1:1" x14ac:dyDescent="0.25">
      <c r="A129" s="9" t="str">
        <f t="shared" si="8"/>
        <v xml:space="preserve"> - </v>
      </c>
    </row>
    <row r="130" spans="1:1" x14ac:dyDescent="0.25">
      <c r="A130" s="9" t="str">
        <f t="shared" si="8"/>
        <v xml:space="preserve"> - </v>
      </c>
    </row>
    <row r="131" spans="1:1" x14ac:dyDescent="0.25">
      <c r="A131" s="9" t="str">
        <f t="shared" si="8"/>
        <v xml:space="preserve"> - </v>
      </c>
    </row>
    <row r="132" spans="1:1" x14ac:dyDescent="0.25">
      <c r="A132" s="9" t="str">
        <f t="shared" ref="A132:A195" si="13">D132&amp;" - "&amp;E132</f>
        <v xml:space="preserve"> - </v>
      </c>
    </row>
    <row r="133" spans="1:1" x14ac:dyDescent="0.25">
      <c r="A133" s="9" t="str">
        <f t="shared" si="13"/>
        <v xml:space="preserve"> - </v>
      </c>
    </row>
    <row r="134" spans="1:1" x14ac:dyDescent="0.25">
      <c r="A134" s="9" t="str">
        <f t="shared" si="13"/>
        <v xml:space="preserve"> - </v>
      </c>
    </row>
    <row r="135" spans="1:1" x14ac:dyDescent="0.25">
      <c r="A135" s="9" t="str">
        <f t="shared" si="13"/>
        <v xml:space="preserve"> - </v>
      </c>
    </row>
    <row r="136" spans="1:1" x14ac:dyDescent="0.25">
      <c r="A136" s="9" t="str">
        <f t="shared" si="13"/>
        <v xml:space="preserve"> - </v>
      </c>
    </row>
    <row r="137" spans="1:1" x14ac:dyDescent="0.25">
      <c r="A137" s="9" t="str">
        <f t="shared" si="13"/>
        <v xml:space="preserve"> - </v>
      </c>
    </row>
    <row r="138" spans="1:1" x14ac:dyDescent="0.25">
      <c r="A138" s="9" t="str">
        <f t="shared" si="13"/>
        <v xml:space="preserve"> - </v>
      </c>
    </row>
    <row r="139" spans="1:1" x14ac:dyDescent="0.25">
      <c r="A139" s="9" t="str">
        <f t="shared" si="13"/>
        <v xml:space="preserve"> - </v>
      </c>
    </row>
    <row r="140" spans="1:1" x14ac:dyDescent="0.25">
      <c r="A140" s="9" t="str">
        <f t="shared" si="13"/>
        <v xml:space="preserve"> - </v>
      </c>
    </row>
    <row r="141" spans="1:1" x14ac:dyDescent="0.25">
      <c r="A141" s="9" t="str">
        <f t="shared" si="13"/>
        <v xml:space="preserve"> - </v>
      </c>
    </row>
    <row r="142" spans="1:1" x14ac:dyDescent="0.25">
      <c r="A142" s="9" t="str">
        <f t="shared" si="13"/>
        <v xml:space="preserve"> - </v>
      </c>
    </row>
    <row r="143" spans="1:1" x14ac:dyDescent="0.25">
      <c r="A143" s="9" t="str">
        <f t="shared" si="13"/>
        <v xml:space="preserve"> - </v>
      </c>
    </row>
    <row r="144" spans="1:1" x14ac:dyDescent="0.25">
      <c r="A144" s="9" t="str">
        <f t="shared" si="13"/>
        <v xml:space="preserve"> - </v>
      </c>
    </row>
    <row r="145" spans="1:9" x14ac:dyDescent="0.25">
      <c r="A145" s="9" t="str">
        <f t="shared" si="13"/>
        <v xml:space="preserve"> - </v>
      </c>
    </row>
    <row r="146" spans="1:9" x14ac:dyDescent="0.25">
      <c r="A146" s="9" t="str">
        <f t="shared" si="13"/>
        <v xml:space="preserve"> - </v>
      </c>
    </row>
    <row r="147" spans="1:9" x14ac:dyDescent="0.25">
      <c r="A147" s="9" t="str">
        <f t="shared" si="13"/>
        <v xml:space="preserve"> - </v>
      </c>
    </row>
    <row r="148" spans="1:9" x14ac:dyDescent="0.25">
      <c r="A148" s="9" t="str">
        <f t="shared" si="13"/>
        <v>COMMERCHAMP - Operación</v>
      </c>
      <c r="D148" s="1" t="s">
        <v>1</v>
      </c>
      <c r="E148" s="1" t="s">
        <v>13</v>
      </c>
      <c r="F148" s="3">
        <v>22153111</v>
      </c>
      <c r="G148" s="3">
        <f t="shared" ref="G148:G149" si="14">F148/$E$1</f>
        <v>2215311.1</v>
      </c>
      <c r="H148" s="3">
        <f t="shared" ref="H148:H149" si="15">F148-I148*$E$1</f>
        <v>22153111</v>
      </c>
      <c r="I148" s="3">
        <v>0</v>
      </c>
    </row>
    <row r="149" spans="1:9" x14ac:dyDescent="0.25">
      <c r="A149" s="9" t="str">
        <f t="shared" si="13"/>
        <v>COMMERCHAMP - OCyG</v>
      </c>
      <c r="D149" s="1" t="s">
        <v>1</v>
      </c>
      <c r="E149" s="1" t="s">
        <v>14</v>
      </c>
      <c r="F149" s="3">
        <v>2022103826</v>
      </c>
      <c r="G149" s="3">
        <f t="shared" si="14"/>
        <v>202210382.59999999</v>
      </c>
      <c r="H149" s="3">
        <f t="shared" si="15"/>
        <v>2022103826</v>
      </c>
      <c r="I149" s="3">
        <v>0</v>
      </c>
    </row>
    <row r="150" spans="1:9" x14ac:dyDescent="0.25">
      <c r="A150" s="9" t="str">
        <f t="shared" si="13"/>
        <v xml:space="preserve"> - </v>
      </c>
    </row>
    <row r="151" spans="1:9" x14ac:dyDescent="0.25">
      <c r="A151" s="9" t="str">
        <f t="shared" si="13"/>
        <v xml:space="preserve"> - </v>
      </c>
    </row>
    <row r="152" spans="1:9" x14ac:dyDescent="0.25">
      <c r="A152" s="9" t="str">
        <f t="shared" si="13"/>
        <v xml:space="preserve"> - </v>
      </c>
    </row>
    <row r="153" spans="1:9" x14ac:dyDescent="0.25">
      <c r="A153" s="9" t="str">
        <f t="shared" si="13"/>
        <v xml:space="preserve"> - </v>
      </c>
    </row>
    <row r="154" spans="1:9" x14ac:dyDescent="0.25">
      <c r="A154" s="9" t="str">
        <f t="shared" si="13"/>
        <v xml:space="preserve"> - </v>
      </c>
    </row>
    <row r="155" spans="1:9" x14ac:dyDescent="0.25">
      <c r="A155" s="9" t="str">
        <f t="shared" si="13"/>
        <v xml:space="preserve"> - </v>
      </c>
    </row>
    <row r="156" spans="1:9" x14ac:dyDescent="0.25">
      <c r="A156" s="9" t="str">
        <f t="shared" si="13"/>
        <v xml:space="preserve"> - </v>
      </c>
    </row>
    <row r="157" spans="1:9" x14ac:dyDescent="0.25">
      <c r="A157" s="9" t="str">
        <f t="shared" si="13"/>
        <v xml:space="preserve"> - </v>
      </c>
    </row>
    <row r="158" spans="1:9" x14ac:dyDescent="0.25">
      <c r="A158" s="9" t="str">
        <f t="shared" si="13"/>
        <v xml:space="preserve"> - </v>
      </c>
    </row>
    <row r="159" spans="1:9" x14ac:dyDescent="0.25">
      <c r="A159" s="9" t="str">
        <f t="shared" si="13"/>
        <v xml:space="preserve"> - </v>
      </c>
    </row>
    <row r="160" spans="1:9" x14ac:dyDescent="0.25">
      <c r="A160" s="9" t="str">
        <f t="shared" si="13"/>
        <v xml:space="preserve"> - </v>
      </c>
    </row>
    <row r="161" spans="1:1" x14ac:dyDescent="0.25">
      <c r="A161" s="9" t="str">
        <f t="shared" si="13"/>
        <v xml:space="preserve"> - </v>
      </c>
    </row>
    <row r="162" spans="1:1" x14ac:dyDescent="0.25">
      <c r="A162" s="9" t="str">
        <f t="shared" si="13"/>
        <v xml:space="preserve"> - </v>
      </c>
    </row>
    <row r="163" spans="1:1" x14ac:dyDescent="0.25">
      <c r="A163" s="9" t="str">
        <f t="shared" si="13"/>
        <v xml:space="preserve"> - </v>
      </c>
    </row>
    <row r="164" spans="1:1" x14ac:dyDescent="0.25">
      <c r="A164" s="9" t="str">
        <f t="shared" si="13"/>
        <v xml:space="preserve"> - </v>
      </c>
    </row>
    <row r="165" spans="1:1" x14ac:dyDescent="0.25">
      <c r="A165" s="9" t="str">
        <f t="shared" si="13"/>
        <v xml:space="preserve"> - </v>
      </c>
    </row>
    <row r="166" spans="1:1" x14ac:dyDescent="0.25">
      <c r="A166" s="9" t="str">
        <f t="shared" si="13"/>
        <v xml:space="preserve"> - </v>
      </c>
    </row>
    <row r="167" spans="1:1" x14ac:dyDescent="0.25">
      <c r="A167" s="9" t="str">
        <f t="shared" si="13"/>
        <v xml:space="preserve"> - </v>
      </c>
    </row>
    <row r="168" spans="1:1" x14ac:dyDescent="0.25">
      <c r="A168" s="9" t="str">
        <f t="shared" si="13"/>
        <v xml:space="preserve"> - </v>
      </c>
    </row>
    <row r="169" spans="1:1" x14ac:dyDescent="0.25">
      <c r="A169" s="9" t="str">
        <f t="shared" si="13"/>
        <v xml:space="preserve"> - </v>
      </c>
    </row>
    <row r="170" spans="1:1" x14ac:dyDescent="0.25">
      <c r="A170" s="9" t="str">
        <f t="shared" si="13"/>
        <v xml:space="preserve"> - </v>
      </c>
    </row>
    <row r="171" spans="1:1" x14ac:dyDescent="0.25">
      <c r="A171" s="9" t="str">
        <f t="shared" si="13"/>
        <v xml:space="preserve"> - </v>
      </c>
    </row>
    <row r="172" spans="1:1" x14ac:dyDescent="0.25">
      <c r="A172" s="9" t="str">
        <f t="shared" si="13"/>
        <v xml:space="preserve"> - </v>
      </c>
    </row>
    <row r="173" spans="1:1" x14ac:dyDescent="0.25">
      <c r="A173" s="9" t="str">
        <f t="shared" si="13"/>
        <v xml:space="preserve"> - </v>
      </c>
    </row>
    <row r="174" spans="1:1" x14ac:dyDescent="0.25">
      <c r="A174" s="9" t="str">
        <f t="shared" si="13"/>
        <v xml:space="preserve"> - </v>
      </c>
    </row>
    <row r="175" spans="1:1" x14ac:dyDescent="0.25">
      <c r="A175" s="9" t="str">
        <f t="shared" si="13"/>
        <v xml:space="preserve"> - </v>
      </c>
    </row>
    <row r="176" spans="1:1" x14ac:dyDescent="0.25">
      <c r="A176" s="9" t="str">
        <f t="shared" si="13"/>
        <v xml:space="preserve"> - </v>
      </c>
    </row>
    <row r="177" spans="1:1" x14ac:dyDescent="0.25">
      <c r="A177" s="9" t="str">
        <f t="shared" si="13"/>
        <v xml:space="preserve"> - </v>
      </c>
    </row>
    <row r="178" spans="1:1" x14ac:dyDescent="0.25">
      <c r="A178" s="9" t="str">
        <f t="shared" si="13"/>
        <v xml:space="preserve"> - </v>
      </c>
    </row>
    <row r="179" spans="1:1" x14ac:dyDescent="0.25">
      <c r="A179" s="9" t="str">
        <f t="shared" si="13"/>
        <v xml:space="preserve"> - </v>
      </c>
    </row>
    <row r="180" spans="1:1" x14ac:dyDescent="0.25">
      <c r="A180" s="9" t="str">
        <f t="shared" si="13"/>
        <v xml:space="preserve"> - </v>
      </c>
    </row>
    <row r="181" spans="1:1" x14ac:dyDescent="0.25">
      <c r="A181" s="9" t="str">
        <f t="shared" si="13"/>
        <v xml:space="preserve"> - </v>
      </c>
    </row>
    <row r="182" spans="1:1" x14ac:dyDescent="0.25">
      <c r="A182" s="9" t="str">
        <f t="shared" si="13"/>
        <v xml:space="preserve"> - </v>
      </c>
    </row>
    <row r="183" spans="1:1" x14ac:dyDescent="0.25">
      <c r="A183" s="9" t="str">
        <f t="shared" si="13"/>
        <v xml:space="preserve"> - </v>
      </c>
    </row>
    <row r="184" spans="1:1" x14ac:dyDescent="0.25">
      <c r="A184" s="9" t="str">
        <f t="shared" si="13"/>
        <v xml:space="preserve"> - </v>
      </c>
    </row>
    <row r="185" spans="1:1" x14ac:dyDescent="0.25">
      <c r="A185" s="9" t="str">
        <f t="shared" si="13"/>
        <v xml:space="preserve"> - </v>
      </c>
    </row>
    <row r="186" spans="1:1" x14ac:dyDescent="0.25">
      <c r="A186" s="9" t="str">
        <f t="shared" si="13"/>
        <v xml:space="preserve"> - </v>
      </c>
    </row>
    <row r="187" spans="1:1" x14ac:dyDescent="0.25">
      <c r="A187" s="9" t="str">
        <f t="shared" si="13"/>
        <v xml:space="preserve"> - </v>
      </c>
    </row>
    <row r="188" spans="1:1" x14ac:dyDescent="0.25">
      <c r="A188" s="9" t="str">
        <f t="shared" si="13"/>
        <v xml:space="preserve"> - </v>
      </c>
    </row>
    <row r="189" spans="1:1" x14ac:dyDescent="0.25">
      <c r="A189" s="9" t="str">
        <f t="shared" si="13"/>
        <v xml:space="preserve"> - </v>
      </c>
    </row>
    <row r="190" spans="1:1" x14ac:dyDescent="0.25">
      <c r="A190" s="9" t="str">
        <f t="shared" si="13"/>
        <v xml:space="preserve"> - </v>
      </c>
    </row>
    <row r="191" spans="1:1" x14ac:dyDescent="0.25">
      <c r="A191" s="9" t="str">
        <f t="shared" si="13"/>
        <v xml:space="preserve"> - </v>
      </c>
    </row>
    <row r="192" spans="1:1" x14ac:dyDescent="0.25">
      <c r="A192" s="9" t="str">
        <f t="shared" si="13"/>
        <v xml:space="preserve"> - </v>
      </c>
    </row>
    <row r="193" spans="1:1" x14ac:dyDescent="0.25">
      <c r="A193" s="9" t="str">
        <f t="shared" si="13"/>
        <v xml:space="preserve"> - </v>
      </c>
    </row>
    <row r="194" spans="1:1" x14ac:dyDescent="0.25">
      <c r="A194" s="9" t="str">
        <f t="shared" si="13"/>
        <v xml:space="preserve"> - </v>
      </c>
    </row>
    <row r="195" spans="1:1" x14ac:dyDescent="0.25">
      <c r="A195" s="9" t="str">
        <f t="shared" si="13"/>
        <v xml:space="preserve"> - </v>
      </c>
    </row>
    <row r="196" spans="1:1" x14ac:dyDescent="0.25">
      <c r="A196" s="9" t="str">
        <f t="shared" ref="A196:A200" si="16">D196&amp;" - "&amp;E196</f>
        <v xml:space="preserve"> - </v>
      </c>
    </row>
    <row r="197" spans="1:1" x14ac:dyDescent="0.25">
      <c r="A197" s="9" t="str">
        <f t="shared" si="16"/>
        <v xml:space="preserve"> - </v>
      </c>
    </row>
    <row r="198" spans="1:1" x14ac:dyDescent="0.25">
      <c r="A198" s="9" t="str">
        <f t="shared" si="16"/>
        <v xml:space="preserve"> - </v>
      </c>
    </row>
    <row r="199" spans="1:1" x14ac:dyDescent="0.25">
      <c r="A199" s="9" t="str">
        <f t="shared" si="16"/>
        <v xml:space="preserve"> - </v>
      </c>
    </row>
    <row r="200" spans="1:1" x14ac:dyDescent="0.25">
      <c r="A200" s="9" t="str">
        <f t="shared" si="16"/>
        <v xml:space="preserve"> - </v>
      </c>
    </row>
  </sheetData>
  <autoFilter ref="A2:L200"/>
  <dataValidations count="2">
    <dataValidation type="list" allowBlank="1" showInputMessage="1" showErrorMessage="1" sqref="D3:D1048576">
      <formula1>NegocioFilial</formula1>
    </dataValidation>
    <dataValidation type="list" allowBlank="1" showInputMessage="1" showErrorMessage="1" sqref="E3:E1048576">
      <formula1>Presupuesto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200"/>
  <sheetViews>
    <sheetView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H45" sqref="H45"/>
    </sheetView>
  </sheetViews>
  <sheetFormatPr baseColWidth="10" defaultColWidth="9.140625" defaultRowHeight="11.25" x14ac:dyDescent="0.25"/>
  <cols>
    <col min="1" max="1" width="16.85546875" style="9" hidden="1" customWidth="1"/>
    <col min="2" max="2" width="55.5703125" style="1" customWidth="1"/>
    <col min="3" max="3" width="1.7109375" style="1" customWidth="1"/>
    <col min="4" max="4" width="17.5703125" style="1" bestFit="1" customWidth="1"/>
    <col min="5" max="5" width="16.140625" style="1" customWidth="1"/>
    <col min="6" max="9" width="15.7109375" style="3" customWidth="1"/>
    <col min="10" max="12" width="9.140625" style="1"/>
    <col min="13" max="13" width="19" style="3" bestFit="1" customWidth="1"/>
    <col min="14" max="16384" width="9.140625" style="1"/>
  </cols>
  <sheetData>
    <row r="1" spans="1:9" x14ac:dyDescent="0.25">
      <c r="D1" s="5" t="s">
        <v>16</v>
      </c>
      <c r="E1" s="3">
        <v>10</v>
      </c>
    </row>
    <row r="2" spans="1:9" x14ac:dyDescent="0.25">
      <c r="A2" s="10" t="s">
        <v>27</v>
      </c>
      <c r="B2" s="2" t="s">
        <v>4</v>
      </c>
      <c r="D2" s="2" t="s">
        <v>9</v>
      </c>
      <c r="E2" s="2" t="s">
        <v>12</v>
      </c>
      <c r="F2" s="4" t="s">
        <v>5</v>
      </c>
      <c r="G2" s="4" t="s">
        <v>6</v>
      </c>
      <c r="H2" s="4" t="s">
        <v>7</v>
      </c>
      <c r="I2" s="4" t="s">
        <v>8</v>
      </c>
    </row>
    <row r="3" spans="1:9" x14ac:dyDescent="0.25">
      <c r="A3" s="9" t="str">
        <f>D3&amp;" - "&amp;E3</f>
        <v>PETROMAR - Compras</v>
      </c>
      <c r="D3" s="1" t="s">
        <v>10</v>
      </c>
      <c r="E3" s="1" t="s">
        <v>17</v>
      </c>
      <c r="F3" s="3">
        <f>I3*$E$1</f>
        <v>22708000000</v>
      </c>
      <c r="G3" s="3">
        <f>F3/$E$1</f>
        <v>2270800000</v>
      </c>
      <c r="H3" s="3">
        <f>F3-I3*$E$1</f>
        <v>0</v>
      </c>
      <c r="I3" s="3">
        <v>2270800000</v>
      </c>
    </row>
    <row r="4" spans="1:9" x14ac:dyDescent="0.25">
      <c r="A4" s="9" t="str">
        <f t="shared" ref="A4:A67" si="0">D4&amp;" - "&amp;E4</f>
        <v xml:space="preserve"> - </v>
      </c>
    </row>
    <row r="5" spans="1:9" x14ac:dyDescent="0.25">
      <c r="A5" s="9" t="str">
        <f t="shared" si="0"/>
        <v xml:space="preserve"> - </v>
      </c>
    </row>
    <row r="6" spans="1:9" x14ac:dyDescent="0.25">
      <c r="A6" s="9" t="str">
        <f t="shared" si="0"/>
        <v xml:space="preserve"> - </v>
      </c>
    </row>
    <row r="7" spans="1:9" x14ac:dyDescent="0.25">
      <c r="A7" s="9" t="str">
        <f t="shared" si="0"/>
        <v xml:space="preserve"> - </v>
      </c>
    </row>
    <row r="8" spans="1:9" x14ac:dyDescent="0.25">
      <c r="A8" s="9" t="str">
        <f t="shared" si="0"/>
        <v xml:space="preserve"> - </v>
      </c>
    </row>
    <row r="9" spans="1:9" x14ac:dyDescent="0.25">
      <c r="A9" s="9" t="str">
        <f t="shared" si="0"/>
        <v xml:space="preserve"> - </v>
      </c>
    </row>
    <row r="10" spans="1:9" x14ac:dyDescent="0.25">
      <c r="A10" s="9" t="str">
        <f t="shared" si="0"/>
        <v xml:space="preserve"> - </v>
      </c>
    </row>
    <row r="11" spans="1:9" x14ac:dyDescent="0.25">
      <c r="A11" s="9" t="str">
        <f t="shared" si="0"/>
        <v xml:space="preserve"> - </v>
      </c>
    </row>
    <row r="12" spans="1:9" x14ac:dyDescent="0.25">
      <c r="A12" s="9" t="str">
        <f t="shared" si="0"/>
        <v xml:space="preserve"> - </v>
      </c>
    </row>
    <row r="13" spans="1:9" x14ac:dyDescent="0.25">
      <c r="A13" s="9" t="str">
        <f t="shared" si="0"/>
        <v xml:space="preserve"> - </v>
      </c>
    </row>
    <row r="14" spans="1:9" x14ac:dyDescent="0.25">
      <c r="A14" s="9" t="str">
        <f t="shared" si="0"/>
        <v xml:space="preserve"> - </v>
      </c>
    </row>
    <row r="15" spans="1:9" x14ac:dyDescent="0.25">
      <c r="A15" s="9" t="str">
        <f t="shared" si="0"/>
        <v xml:space="preserve"> - </v>
      </c>
    </row>
    <row r="16" spans="1:9" x14ac:dyDescent="0.25">
      <c r="A16" s="9" t="str">
        <f t="shared" si="0"/>
        <v xml:space="preserve"> - </v>
      </c>
    </row>
    <row r="17" spans="1:9" x14ac:dyDescent="0.25">
      <c r="A17" s="9" t="str">
        <f t="shared" si="0"/>
        <v>COMERCIT - Operación</v>
      </c>
      <c r="D17" s="1" t="s">
        <v>18</v>
      </c>
      <c r="E17" s="1" t="s">
        <v>13</v>
      </c>
      <c r="F17" s="3">
        <v>121676410</v>
      </c>
      <c r="G17" s="3">
        <f t="shared" ref="G17:G18" si="1">F17/$E$1</f>
        <v>12167641</v>
      </c>
      <c r="H17" s="3">
        <f t="shared" ref="H17:H18" si="2">F17-I17*$E$1</f>
        <v>4406550</v>
      </c>
      <c r="I17" s="3">
        <v>11726986</v>
      </c>
    </row>
    <row r="18" spans="1:9" x14ac:dyDescent="0.25">
      <c r="A18" s="9" t="str">
        <f t="shared" si="0"/>
        <v>COMERCIT - OCyG</v>
      </c>
      <c r="D18" s="1" t="s">
        <v>18</v>
      </c>
      <c r="E18" s="1" t="s">
        <v>14</v>
      </c>
      <c r="F18" s="3">
        <v>1204283620</v>
      </c>
      <c r="G18" s="3">
        <f t="shared" si="1"/>
        <v>120428362</v>
      </c>
      <c r="H18" s="3">
        <f t="shared" si="2"/>
        <v>1631300</v>
      </c>
      <c r="I18" s="3">
        <v>120265232</v>
      </c>
    </row>
    <row r="19" spans="1:9" x14ac:dyDescent="0.25">
      <c r="A19" s="9" t="str">
        <f t="shared" si="0"/>
        <v xml:space="preserve"> - </v>
      </c>
    </row>
    <row r="20" spans="1:9" x14ac:dyDescent="0.25">
      <c r="A20" s="9" t="str">
        <f t="shared" si="0"/>
        <v xml:space="preserve"> - </v>
      </c>
    </row>
    <row r="21" spans="1:9" x14ac:dyDescent="0.25">
      <c r="A21" s="9" t="str">
        <f t="shared" si="0"/>
        <v xml:space="preserve"> - </v>
      </c>
    </row>
    <row r="22" spans="1:9" x14ac:dyDescent="0.25">
      <c r="A22" s="9" t="str">
        <f t="shared" si="0"/>
        <v xml:space="preserve"> - </v>
      </c>
    </row>
    <row r="23" spans="1:9" x14ac:dyDescent="0.25">
      <c r="A23" s="9" t="str">
        <f t="shared" si="0"/>
        <v xml:space="preserve"> - </v>
      </c>
    </row>
    <row r="24" spans="1:9" x14ac:dyDescent="0.25">
      <c r="A24" s="9" t="str">
        <f t="shared" si="0"/>
        <v xml:space="preserve"> - </v>
      </c>
    </row>
    <row r="25" spans="1:9" x14ac:dyDescent="0.25">
      <c r="A25" s="9" t="str">
        <f t="shared" si="0"/>
        <v xml:space="preserve"> - </v>
      </c>
    </row>
    <row r="26" spans="1:9" x14ac:dyDescent="0.25">
      <c r="A26" s="9" t="str">
        <f t="shared" si="0"/>
        <v xml:space="preserve"> - </v>
      </c>
    </row>
    <row r="27" spans="1:9" x14ac:dyDescent="0.25">
      <c r="A27" s="9" t="str">
        <f t="shared" si="0"/>
        <v xml:space="preserve"> - </v>
      </c>
    </row>
    <row r="28" spans="1:9" x14ac:dyDescent="0.25">
      <c r="A28" s="9" t="str">
        <f t="shared" si="0"/>
        <v xml:space="preserve"> - </v>
      </c>
    </row>
    <row r="29" spans="1:9" x14ac:dyDescent="0.25">
      <c r="A29" s="9" t="str">
        <f t="shared" si="0"/>
        <v xml:space="preserve"> - </v>
      </c>
    </row>
    <row r="30" spans="1:9" x14ac:dyDescent="0.25">
      <c r="A30" s="9" t="str">
        <f t="shared" si="0"/>
        <v xml:space="preserve"> - </v>
      </c>
    </row>
    <row r="31" spans="1:9" x14ac:dyDescent="0.25">
      <c r="A31" s="9" t="str">
        <f t="shared" si="0"/>
        <v xml:space="preserve"> - </v>
      </c>
    </row>
    <row r="32" spans="1:9" x14ac:dyDescent="0.25">
      <c r="A32" s="9" t="str">
        <f t="shared" si="0"/>
        <v xml:space="preserve"> - </v>
      </c>
    </row>
    <row r="33" spans="1:9" x14ac:dyDescent="0.25">
      <c r="A33" s="9" t="str">
        <f t="shared" si="0"/>
        <v xml:space="preserve"> - </v>
      </c>
    </row>
    <row r="34" spans="1:9" x14ac:dyDescent="0.25">
      <c r="A34" s="9" t="str">
        <f t="shared" si="0"/>
        <v xml:space="preserve"> - </v>
      </c>
    </row>
    <row r="35" spans="1:9" x14ac:dyDescent="0.25">
      <c r="A35" s="9" t="str">
        <f t="shared" si="0"/>
        <v xml:space="preserve"> - </v>
      </c>
    </row>
    <row r="36" spans="1:9" x14ac:dyDescent="0.25">
      <c r="A36" s="9" t="str">
        <f t="shared" si="0"/>
        <v xml:space="preserve"> - </v>
      </c>
    </row>
    <row r="37" spans="1:9" x14ac:dyDescent="0.25">
      <c r="A37" s="9" t="str">
        <f t="shared" si="0"/>
        <v xml:space="preserve"> - </v>
      </c>
    </row>
    <row r="38" spans="1:9" x14ac:dyDescent="0.25">
      <c r="A38" s="9" t="str">
        <f t="shared" si="0"/>
        <v xml:space="preserve"> - </v>
      </c>
    </row>
    <row r="39" spans="1:9" x14ac:dyDescent="0.25">
      <c r="A39" s="9" t="str">
        <f t="shared" si="0"/>
        <v xml:space="preserve"> - </v>
      </c>
    </row>
    <row r="40" spans="1:9" x14ac:dyDescent="0.25">
      <c r="A40" s="9" t="str">
        <f t="shared" si="0"/>
        <v xml:space="preserve"> - </v>
      </c>
    </row>
    <row r="41" spans="1:9" x14ac:dyDescent="0.25">
      <c r="A41" s="9" t="str">
        <f t="shared" si="0"/>
        <v xml:space="preserve"> - </v>
      </c>
    </row>
    <row r="42" spans="1:9" x14ac:dyDescent="0.25">
      <c r="A42" s="9" t="str">
        <f t="shared" si="0"/>
        <v xml:space="preserve"> - </v>
      </c>
    </row>
    <row r="43" spans="1:9" x14ac:dyDescent="0.25">
      <c r="A43" s="9" t="str">
        <f t="shared" si="0"/>
        <v xml:space="preserve"> - </v>
      </c>
    </row>
    <row r="44" spans="1:9" x14ac:dyDescent="0.25">
      <c r="A44" s="9" t="str">
        <f t="shared" si="0"/>
        <v xml:space="preserve"> - </v>
      </c>
    </row>
    <row r="45" spans="1:9" x14ac:dyDescent="0.25">
      <c r="A45" s="9" t="str">
        <f t="shared" si="0"/>
        <v>PDV MARINA - Operación</v>
      </c>
      <c r="D45" s="1" t="s">
        <v>0</v>
      </c>
      <c r="E45" s="1" t="s">
        <v>13</v>
      </c>
      <c r="F45" s="3">
        <v>26108193535</v>
      </c>
      <c r="G45" s="3">
        <f t="shared" ref="G45:G47" si="3">F45/$E$1</f>
        <v>2610819353.5</v>
      </c>
      <c r="H45" s="3">
        <f t="shared" ref="H45:H47" si="4">F45-I45*$E$1</f>
        <v>26108193535</v>
      </c>
      <c r="I45" s="3">
        <v>0</v>
      </c>
    </row>
    <row r="46" spans="1:9" x14ac:dyDescent="0.25">
      <c r="A46" s="9" t="str">
        <f t="shared" si="0"/>
        <v>PDV MARINA - OCyG</v>
      </c>
      <c r="D46" s="1" t="s">
        <v>0</v>
      </c>
      <c r="E46" s="1" t="s">
        <v>14</v>
      </c>
      <c r="F46" s="3">
        <v>-19321750141</v>
      </c>
      <c r="G46" s="3">
        <f t="shared" si="3"/>
        <v>-1932175014.0999999</v>
      </c>
      <c r="H46" s="3">
        <f t="shared" si="4"/>
        <v>-23159521500.200001</v>
      </c>
      <c r="I46" s="3">
        <v>383777135.92000002</v>
      </c>
    </row>
    <row r="47" spans="1:9" x14ac:dyDescent="0.25">
      <c r="A47" s="9" t="str">
        <f t="shared" si="0"/>
        <v>PDV MARINA - Inversión</v>
      </c>
      <c r="D47" s="1" t="s">
        <v>0</v>
      </c>
      <c r="E47" s="1" t="s">
        <v>15</v>
      </c>
      <c r="F47" s="3">
        <v>118062594</v>
      </c>
      <c r="G47" s="3">
        <f t="shared" si="3"/>
        <v>11806259.4</v>
      </c>
      <c r="H47" s="3">
        <f t="shared" si="4"/>
        <v>17107244</v>
      </c>
      <c r="I47" s="3">
        <v>10095535</v>
      </c>
    </row>
    <row r="48" spans="1:9" x14ac:dyDescent="0.25">
      <c r="A48" s="9" t="str">
        <f t="shared" si="0"/>
        <v xml:space="preserve"> - </v>
      </c>
    </row>
    <row r="49" spans="1:1" x14ac:dyDescent="0.25">
      <c r="A49" s="9" t="str">
        <f t="shared" si="0"/>
        <v xml:space="preserve"> - </v>
      </c>
    </row>
    <row r="50" spans="1:1" x14ac:dyDescent="0.25">
      <c r="A50" s="9" t="str">
        <f t="shared" si="0"/>
        <v xml:space="preserve"> - </v>
      </c>
    </row>
    <row r="51" spans="1:1" x14ac:dyDescent="0.25">
      <c r="A51" s="9" t="str">
        <f t="shared" si="0"/>
        <v xml:space="preserve"> - </v>
      </c>
    </row>
    <row r="52" spans="1:1" x14ac:dyDescent="0.25">
      <c r="A52" s="9" t="str">
        <f t="shared" si="0"/>
        <v xml:space="preserve"> - </v>
      </c>
    </row>
    <row r="53" spans="1:1" x14ac:dyDescent="0.25">
      <c r="A53" s="9" t="str">
        <f t="shared" si="0"/>
        <v xml:space="preserve"> - </v>
      </c>
    </row>
    <row r="54" spans="1:1" x14ac:dyDescent="0.25">
      <c r="A54" s="9" t="str">
        <f t="shared" si="0"/>
        <v xml:space="preserve"> - </v>
      </c>
    </row>
    <row r="55" spans="1:1" x14ac:dyDescent="0.25">
      <c r="A55" s="9" t="str">
        <f t="shared" si="0"/>
        <v xml:space="preserve"> - </v>
      </c>
    </row>
    <row r="56" spans="1:1" x14ac:dyDescent="0.25">
      <c r="A56" s="9" t="str">
        <f t="shared" si="0"/>
        <v xml:space="preserve"> - </v>
      </c>
    </row>
    <row r="57" spans="1:1" x14ac:dyDescent="0.25">
      <c r="A57" s="9" t="str">
        <f t="shared" si="0"/>
        <v xml:space="preserve"> - </v>
      </c>
    </row>
    <row r="58" spans="1:1" x14ac:dyDescent="0.25">
      <c r="A58" s="9" t="str">
        <f t="shared" si="0"/>
        <v xml:space="preserve"> - </v>
      </c>
    </row>
    <row r="59" spans="1:1" x14ac:dyDescent="0.25">
      <c r="A59" s="9" t="str">
        <f t="shared" si="0"/>
        <v xml:space="preserve"> - </v>
      </c>
    </row>
    <row r="60" spans="1:1" x14ac:dyDescent="0.25">
      <c r="A60" s="9" t="str">
        <f t="shared" si="0"/>
        <v xml:space="preserve"> - </v>
      </c>
    </row>
    <row r="61" spans="1:1" x14ac:dyDescent="0.25">
      <c r="A61" s="9" t="str">
        <f t="shared" si="0"/>
        <v xml:space="preserve"> - </v>
      </c>
    </row>
    <row r="62" spans="1:1" x14ac:dyDescent="0.25">
      <c r="A62" s="9" t="str">
        <f t="shared" si="0"/>
        <v xml:space="preserve"> - </v>
      </c>
    </row>
    <row r="63" spans="1:1" x14ac:dyDescent="0.25">
      <c r="A63" s="9" t="str">
        <f t="shared" si="0"/>
        <v xml:space="preserve"> - </v>
      </c>
    </row>
    <row r="64" spans="1:1" x14ac:dyDescent="0.25">
      <c r="A64" s="9" t="str">
        <f t="shared" si="0"/>
        <v xml:space="preserve"> - </v>
      </c>
    </row>
    <row r="65" spans="1:8" x14ac:dyDescent="0.25">
      <c r="A65" s="9" t="str">
        <f t="shared" si="0"/>
        <v xml:space="preserve"> - </v>
      </c>
    </row>
    <row r="66" spans="1:8" x14ac:dyDescent="0.25">
      <c r="A66" s="9" t="str">
        <f t="shared" si="0"/>
        <v xml:space="preserve"> - </v>
      </c>
    </row>
    <row r="67" spans="1:8" x14ac:dyDescent="0.25">
      <c r="A67" s="9" t="str">
        <f t="shared" si="0"/>
        <v xml:space="preserve"> - </v>
      </c>
    </row>
    <row r="68" spans="1:8" x14ac:dyDescent="0.25">
      <c r="A68" s="9" t="str">
        <f t="shared" ref="A68:A131" si="5">D68&amp;" - "&amp;E68</f>
        <v xml:space="preserve"> - </v>
      </c>
    </row>
    <row r="69" spans="1:8" x14ac:dyDescent="0.25">
      <c r="A69" s="9" t="str">
        <f t="shared" si="5"/>
        <v xml:space="preserve"> - </v>
      </c>
    </row>
    <row r="70" spans="1:8" x14ac:dyDescent="0.25">
      <c r="A70" s="9" t="str">
        <f t="shared" si="5"/>
        <v xml:space="preserve"> - </v>
      </c>
    </row>
    <row r="71" spans="1:8" x14ac:dyDescent="0.25">
      <c r="A71" s="9" t="str">
        <f t="shared" si="5"/>
        <v xml:space="preserve"> - </v>
      </c>
    </row>
    <row r="72" spans="1:8" x14ac:dyDescent="0.25">
      <c r="A72" s="9" t="str">
        <f t="shared" si="5"/>
        <v xml:space="preserve"> - </v>
      </c>
    </row>
    <row r="73" spans="1:8" x14ac:dyDescent="0.25">
      <c r="A73" s="9" t="str">
        <f t="shared" si="5"/>
        <v xml:space="preserve"> - </v>
      </c>
    </row>
    <row r="74" spans="1:8" x14ac:dyDescent="0.25">
      <c r="A74" s="9" t="str">
        <f t="shared" si="5"/>
        <v xml:space="preserve"> - </v>
      </c>
    </row>
    <row r="75" spans="1:8" x14ac:dyDescent="0.25">
      <c r="A75" s="9" t="str">
        <f t="shared" si="5"/>
        <v xml:space="preserve"> - </v>
      </c>
    </row>
    <row r="76" spans="1:8" x14ac:dyDescent="0.25">
      <c r="A76" s="9" t="str">
        <f t="shared" si="5"/>
        <v xml:space="preserve"> - </v>
      </c>
    </row>
    <row r="77" spans="1:8" x14ac:dyDescent="0.25">
      <c r="A77" s="9" t="str">
        <f t="shared" si="5"/>
        <v>COMMERCHAMP - Operación</v>
      </c>
      <c r="D77" s="1" t="s">
        <v>1</v>
      </c>
      <c r="E77" s="1" t="s">
        <v>13</v>
      </c>
      <c r="F77" s="3">
        <v>18371030</v>
      </c>
      <c r="G77" s="3">
        <f t="shared" ref="G77:G78" si="6">F77/$E$1</f>
        <v>1837103</v>
      </c>
      <c r="H77" s="3">
        <f t="shared" ref="H77:H78" si="7">F77-I77*$E$1</f>
        <v>18371030</v>
      </c>
    </row>
    <row r="78" spans="1:8" x14ac:dyDescent="0.25">
      <c r="A78" s="9" t="str">
        <f t="shared" si="5"/>
        <v>COMMERCHAMP - OCyG</v>
      </c>
      <c r="D78" s="1" t="s">
        <v>1</v>
      </c>
      <c r="E78" s="1" t="s">
        <v>14</v>
      </c>
      <c r="F78" s="3">
        <v>1935580629</v>
      </c>
      <c r="G78" s="3">
        <f t="shared" si="6"/>
        <v>193558062.90000001</v>
      </c>
      <c r="H78" s="3">
        <f t="shared" si="7"/>
        <v>1935580629</v>
      </c>
    </row>
    <row r="79" spans="1:8" x14ac:dyDescent="0.25">
      <c r="A79" s="9" t="str">
        <f t="shared" si="5"/>
        <v xml:space="preserve"> - </v>
      </c>
    </row>
    <row r="80" spans="1:8" x14ac:dyDescent="0.25">
      <c r="A80" s="9" t="str">
        <f t="shared" si="5"/>
        <v xml:space="preserve"> - </v>
      </c>
    </row>
    <row r="81" spans="1:9" x14ac:dyDescent="0.25">
      <c r="A81" s="9" t="str">
        <f t="shared" si="5"/>
        <v xml:space="preserve"> - </v>
      </c>
    </row>
    <row r="82" spans="1:9" x14ac:dyDescent="0.25">
      <c r="A82" s="9" t="str">
        <f t="shared" si="5"/>
        <v xml:space="preserve"> - </v>
      </c>
    </row>
    <row r="83" spans="1:9" x14ac:dyDescent="0.25">
      <c r="A83" s="9" t="str">
        <f t="shared" si="5"/>
        <v xml:space="preserve"> - </v>
      </c>
    </row>
    <row r="84" spans="1:9" x14ac:dyDescent="0.25">
      <c r="A84" s="9" t="str">
        <f t="shared" si="5"/>
        <v xml:space="preserve"> - </v>
      </c>
    </row>
    <row r="85" spans="1:9" x14ac:dyDescent="0.25">
      <c r="A85" s="9" t="str">
        <f t="shared" si="5"/>
        <v xml:space="preserve"> - </v>
      </c>
    </row>
    <row r="86" spans="1:9" x14ac:dyDescent="0.25">
      <c r="A86" s="9" t="str">
        <f t="shared" si="5"/>
        <v xml:space="preserve"> - </v>
      </c>
    </row>
    <row r="87" spans="1:9" x14ac:dyDescent="0.25">
      <c r="A87" s="9" t="str">
        <f t="shared" si="5"/>
        <v xml:space="preserve"> - </v>
      </c>
    </row>
    <row r="88" spans="1:9" x14ac:dyDescent="0.25">
      <c r="A88" s="9" t="str">
        <f t="shared" si="5"/>
        <v xml:space="preserve"> - </v>
      </c>
    </row>
    <row r="89" spans="1:9" x14ac:dyDescent="0.25">
      <c r="A89" s="9" t="str">
        <f t="shared" si="5"/>
        <v xml:space="preserve"> - </v>
      </c>
    </row>
    <row r="90" spans="1:9" x14ac:dyDescent="0.25">
      <c r="A90" s="9" t="str">
        <f t="shared" si="5"/>
        <v xml:space="preserve"> - </v>
      </c>
    </row>
    <row r="91" spans="1:9" x14ac:dyDescent="0.25">
      <c r="A91" s="9" t="str">
        <f t="shared" si="5"/>
        <v xml:space="preserve"> - </v>
      </c>
    </row>
    <row r="92" spans="1:9" x14ac:dyDescent="0.25">
      <c r="A92" s="9" t="str">
        <f t="shared" si="5"/>
        <v xml:space="preserve"> - </v>
      </c>
    </row>
    <row r="93" spans="1:9" x14ac:dyDescent="0.25">
      <c r="A93" s="9" t="str">
        <f t="shared" si="5"/>
        <v>COMERCIO Y SUMINISTRO - Operación</v>
      </c>
      <c r="D93" s="1" t="s">
        <v>2</v>
      </c>
      <c r="E93" s="1" t="s">
        <v>13</v>
      </c>
      <c r="F93" s="3">
        <v>32874621150</v>
      </c>
      <c r="G93" s="3">
        <f t="shared" ref="G93:G94" si="8">F93/$E$1</f>
        <v>3287462115</v>
      </c>
      <c r="H93" s="3">
        <f t="shared" ref="H93:H94" si="9">F93-I93*$E$1</f>
        <v>28129111580.700001</v>
      </c>
      <c r="I93" s="3">
        <v>474550956.93000001</v>
      </c>
    </row>
    <row r="94" spans="1:9" x14ac:dyDescent="0.25">
      <c r="A94" s="9" t="str">
        <f t="shared" si="5"/>
        <v>COMERCIO Y SUMINISTRO - OCyG</v>
      </c>
      <c r="D94" s="1" t="s">
        <v>2</v>
      </c>
      <c r="E94" s="1" t="s">
        <v>14</v>
      </c>
      <c r="F94" s="3">
        <v>169007605692</v>
      </c>
      <c r="G94" s="3">
        <f t="shared" si="8"/>
        <v>16900760569.200001</v>
      </c>
      <c r="H94" s="3">
        <f t="shared" si="9"/>
        <v>109591767898.8</v>
      </c>
      <c r="I94" s="3">
        <v>5941583779.3199997</v>
      </c>
    </row>
    <row r="95" spans="1:9" x14ac:dyDescent="0.25">
      <c r="A95" s="9" t="str">
        <f t="shared" si="5"/>
        <v xml:space="preserve"> - </v>
      </c>
    </row>
    <row r="96" spans="1:9" x14ac:dyDescent="0.25">
      <c r="A96" s="9" t="str">
        <f t="shared" si="5"/>
        <v xml:space="preserve"> - </v>
      </c>
    </row>
    <row r="97" spans="1:1" x14ac:dyDescent="0.25">
      <c r="A97" s="9" t="str">
        <f t="shared" si="5"/>
        <v xml:space="preserve"> - </v>
      </c>
    </row>
    <row r="98" spans="1:1" x14ac:dyDescent="0.25">
      <c r="A98" s="9" t="str">
        <f t="shared" si="5"/>
        <v xml:space="preserve"> - </v>
      </c>
    </row>
    <row r="99" spans="1:1" x14ac:dyDescent="0.25">
      <c r="A99" s="9" t="str">
        <f t="shared" si="5"/>
        <v xml:space="preserve"> - </v>
      </c>
    </row>
    <row r="100" spans="1:1" x14ac:dyDescent="0.25">
      <c r="A100" s="9" t="str">
        <f t="shared" si="5"/>
        <v xml:space="preserve"> - </v>
      </c>
    </row>
    <row r="101" spans="1:1" x14ac:dyDescent="0.25">
      <c r="A101" s="9" t="str">
        <f t="shared" si="5"/>
        <v xml:space="preserve"> - </v>
      </c>
    </row>
    <row r="102" spans="1:1" x14ac:dyDescent="0.25">
      <c r="A102" s="9" t="str">
        <f t="shared" si="5"/>
        <v xml:space="preserve"> - </v>
      </c>
    </row>
    <row r="103" spans="1:1" x14ac:dyDescent="0.25">
      <c r="A103" s="9" t="str">
        <f t="shared" si="5"/>
        <v xml:space="preserve"> - </v>
      </c>
    </row>
    <row r="104" spans="1:1" x14ac:dyDescent="0.25">
      <c r="A104" s="9" t="str">
        <f t="shared" si="5"/>
        <v xml:space="preserve"> - </v>
      </c>
    </row>
    <row r="105" spans="1:1" x14ac:dyDescent="0.25">
      <c r="A105" s="9" t="str">
        <f t="shared" si="5"/>
        <v xml:space="preserve"> - </v>
      </c>
    </row>
    <row r="106" spans="1:1" x14ac:dyDescent="0.25">
      <c r="A106" s="9" t="str">
        <f t="shared" si="5"/>
        <v xml:space="preserve"> - </v>
      </c>
    </row>
    <row r="107" spans="1:1" x14ac:dyDescent="0.25">
      <c r="A107" s="9" t="str">
        <f t="shared" si="5"/>
        <v xml:space="preserve"> - </v>
      </c>
    </row>
    <row r="108" spans="1:1" x14ac:dyDescent="0.25">
      <c r="A108" s="9" t="str">
        <f t="shared" si="5"/>
        <v xml:space="preserve"> - </v>
      </c>
    </row>
    <row r="109" spans="1:1" x14ac:dyDescent="0.25">
      <c r="A109" s="9" t="str">
        <f t="shared" si="5"/>
        <v xml:space="preserve"> - </v>
      </c>
    </row>
    <row r="110" spans="1:1" x14ac:dyDescent="0.25">
      <c r="A110" s="9" t="str">
        <f t="shared" si="5"/>
        <v xml:space="preserve"> - </v>
      </c>
    </row>
    <row r="111" spans="1:1" x14ac:dyDescent="0.25">
      <c r="A111" s="9" t="str">
        <f t="shared" si="5"/>
        <v xml:space="preserve"> - </v>
      </c>
    </row>
    <row r="112" spans="1:1" x14ac:dyDescent="0.25">
      <c r="A112" s="9" t="str">
        <f t="shared" si="5"/>
        <v xml:space="preserve"> - </v>
      </c>
    </row>
    <row r="113" spans="1:9" x14ac:dyDescent="0.25">
      <c r="A113" s="9" t="str">
        <f t="shared" si="5"/>
        <v xml:space="preserve"> - </v>
      </c>
    </row>
    <row r="114" spans="1:9" x14ac:dyDescent="0.25">
      <c r="A114" s="9" t="str">
        <f t="shared" si="5"/>
        <v xml:space="preserve"> - </v>
      </c>
    </row>
    <row r="115" spans="1:9" x14ac:dyDescent="0.25">
      <c r="A115" s="9" t="str">
        <f t="shared" si="5"/>
        <v xml:space="preserve"> - </v>
      </c>
    </row>
    <row r="116" spans="1:9" x14ac:dyDescent="0.25">
      <c r="A116" s="9" t="str">
        <f t="shared" si="5"/>
        <v xml:space="preserve"> - </v>
      </c>
    </row>
    <row r="117" spans="1:9" x14ac:dyDescent="0.25">
      <c r="A117" s="9" t="str">
        <f t="shared" si="5"/>
        <v xml:space="preserve"> - </v>
      </c>
    </row>
    <row r="118" spans="1:9" x14ac:dyDescent="0.25">
      <c r="A118" s="9" t="str">
        <f t="shared" si="5"/>
        <v xml:space="preserve"> - </v>
      </c>
    </row>
    <row r="119" spans="1:9" x14ac:dyDescent="0.25">
      <c r="A119" s="9" t="str">
        <f t="shared" si="5"/>
        <v xml:space="preserve"> - </v>
      </c>
    </row>
    <row r="120" spans="1:9" x14ac:dyDescent="0.25">
      <c r="A120" s="9" t="str">
        <f t="shared" si="5"/>
        <v>MERCADO NACIONAL - Operación</v>
      </c>
      <c r="D120" s="1" t="s">
        <v>11</v>
      </c>
      <c r="E120" s="1" t="s">
        <v>13</v>
      </c>
      <c r="F120" s="3">
        <v>62662927301</v>
      </c>
      <c r="G120" s="3">
        <f t="shared" ref="G120:G122" si="10">F120/$E$1</f>
        <v>6266292730.1000004</v>
      </c>
      <c r="H120" s="3">
        <f t="shared" ref="H120:H121" si="11">F120-I120*$E$1</f>
        <v>62098527301</v>
      </c>
      <c r="I120" s="3">
        <v>56440000</v>
      </c>
    </row>
    <row r="121" spans="1:9" x14ac:dyDescent="0.25">
      <c r="A121" s="9" t="str">
        <f t="shared" si="5"/>
        <v>MERCADO NACIONAL - OCyG</v>
      </c>
      <c r="D121" s="1" t="s">
        <v>11</v>
      </c>
      <c r="E121" s="1" t="s">
        <v>14</v>
      </c>
      <c r="F121" s="3">
        <v>80146774566</v>
      </c>
      <c r="G121" s="3">
        <f t="shared" si="10"/>
        <v>8014677456.6000004</v>
      </c>
      <c r="H121" s="3">
        <f t="shared" si="11"/>
        <v>79673374566</v>
      </c>
      <c r="I121" s="3">
        <v>47340000</v>
      </c>
    </row>
    <row r="122" spans="1:9" x14ac:dyDescent="0.25">
      <c r="A122" s="9" t="str">
        <f t="shared" si="5"/>
        <v>MERCADO NACIONAL - Inversión</v>
      </c>
      <c r="D122" s="1" t="s">
        <v>11</v>
      </c>
      <c r="E122" s="1" t="s">
        <v>15</v>
      </c>
      <c r="F122" s="3">
        <v>9540100000</v>
      </c>
      <c r="G122" s="3">
        <f t="shared" si="10"/>
        <v>954010000</v>
      </c>
      <c r="H122" s="3">
        <f t="shared" ref="H122" si="12">F122-I122*$E$1</f>
        <v>9508000000</v>
      </c>
      <c r="I122" s="3">
        <v>3210000</v>
      </c>
    </row>
    <row r="123" spans="1:9" x14ac:dyDescent="0.25">
      <c r="A123" s="9" t="str">
        <f t="shared" si="5"/>
        <v xml:space="preserve"> - </v>
      </c>
    </row>
    <row r="124" spans="1:9" x14ac:dyDescent="0.25">
      <c r="A124" s="9" t="str">
        <f t="shared" si="5"/>
        <v xml:space="preserve"> - </v>
      </c>
    </row>
    <row r="125" spans="1:9" x14ac:dyDescent="0.25">
      <c r="A125" s="9" t="str">
        <f t="shared" si="5"/>
        <v xml:space="preserve"> - </v>
      </c>
    </row>
    <row r="126" spans="1:9" x14ac:dyDescent="0.25">
      <c r="A126" s="9" t="str">
        <f t="shared" si="5"/>
        <v xml:space="preserve"> - </v>
      </c>
    </row>
    <row r="127" spans="1:9" x14ac:dyDescent="0.25">
      <c r="A127" s="9" t="str">
        <f t="shared" si="5"/>
        <v xml:space="preserve"> - </v>
      </c>
    </row>
    <row r="128" spans="1:9" x14ac:dyDescent="0.25">
      <c r="A128" s="9" t="str">
        <f t="shared" si="5"/>
        <v xml:space="preserve"> - </v>
      </c>
    </row>
    <row r="129" spans="1:1" x14ac:dyDescent="0.25">
      <c r="A129" s="9" t="str">
        <f t="shared" si="5"/>
        <v xml:space="preserve"> - </v>
      </c>
    </row>
    <row r="130" spans="1:1" x14ac:dyDescent="0.25">
      <c r="A130" s="9" t="str">
        <f t="shared" si="5"/>
        <v xml:space="preserve"> - </v>
      </c>
    </row>
    <row r="131" spans="1:1" x14ac:dyDescent="0.25">
      <c r="A131" s="9" t="str">
        <f t="shared" si="5"/>
        <v xml:space="preserve"> - </v>
      </c>
    </row>
    <row r="132" spans="1:1" x14ac:dyDescent="0.25">
      <c r="A132" s="9" t="str">
        <f t="shared" ref="A132:A195" si="13">D132&amp;" - "&amp;E132</f>
        <v xml:space="preserve"> - </v>
      </c>
    </row>
    <row r="133" spans="1:1" x14ac:dyDescent="0.25">
      <c r="A133" s="9" t="str">
        <f t="shared" si="13"/>
        <v xml:space="preserve"> - </v>
      </c>
    </row>
    <row r="134" spans="1:1" x14ac:dyDescent="0.25">
      <c r="A134" s="9" t="str">
        <f t="shared" si="13"/>
        <v xml:space="preserve"> - </v>
      </c>
    </row>
    <row r="135" spans="1:1" x14ac:dyDescent="0.25">
      <c r="A135" s="9" t="str">
        <f t="shared" si="13"/>
        <v xml:space="preserve"> - </v>
      </c>
    </row>
    <row r="136" spans="1:1" x14ac:dyDescent="0.25">
      <c r="A136" s="9" t="str">
        <f t="shared" si="13"/>
        <v xml:space="preserve"> - </v>
      </c>
    </row>
    <row r="137" spans="1:1" x14ac:dyDescent="0.25">
      <c r="A137" s="9" t="str">
        <f t="shared" si="13"/>
        <v xml:space="preserve"> - </v>
      </c>
    </row>
    <row r="138" spans="1:1" x14ac:dyDescent="0.25">
      <c r="A138" s="9" t="str">
        <f t="shared" si="13"/>
        <v xml:space="preserve"> - </v>
      </c>
    </row>
    <row r="139" spans="1:1" x14ac:dyDescent="0.25">
      <c r="A139" s="9" t="str">
        <f t="shared" si="13"/>
        <v xml:space="preserve"> - </v>
      </c>
    </row>
    <row r="140" spans="1:1" x14ac:dyDescent="0.25">
      <c r="A140" s="9" t="str">
        <f t="shared" si="13"/>
        <v xml:space="preserve"> - </v>
      </c>
    </row>
    <row r="141" spans="1:1" x14ac:dyDescent="0.25">
      <c r="A141" s="9" t="str">
        <f t="shared" si="13"/>
        <v xml:space="preserve"> - </v>
      </c>
    </row>
    <row r="142" spans="1:1" x14ac:dyDescent="0.25">
      <c r="A142" s="9" t="str">
        <f t="shared" si="13"/>
        <v xml:space="preserve"> - </v>
      </c>
    </row>
    <row r="143" spans="1:1" x14ac:dyDescent="0.25">
      <c r="A143" s="9" t="str">
        <f t="shared" si="13"/>
        <v xml:space="preserve"> - </v>
      </c>
    </row>
    <row r="144" spans="1:1" x14ac:dyDescent="0.25">
      <c r="A144" s="9" t="str">
        <f t="shared" si="13"/>
        <v xml:space="preserve"> - </v>
      </c>
    </row>
    <row r="145" spans="1:9" x14ac:dyDescent="0.25">
      <c r="A145" s="9" t="str">
        <f t="shared" si="13"/>
        <v xml:space="preserve"> - </v>
      </c>
    </row>
    <row r="146" spans="1:9" x14ac:dyDescent="0.25">
      <c r="A146" s="9" t="str">
        <f t="shared" si="13"/>
        <v xml:space="preserve"> - </v>
      </c>
    </row>
    <row r="147" spans="1:9" x14ac:dyDescent="0.25">
      <c r="A147" s="9" t="str">
        <f t="shared" si="13"/>
        <v xml:space="preserve"> - </v>
      </c>
    </row>
    <row r="148" spans="1:9" x14ac:dyDescent="0.25">
      <c r="A148" s="9" t="str">
        <f t="shared" si="13"/>
        <v xml:space="preserve"> - </v>
      </c>
    </row>
    <row r="149" spans="1:9" x14ac:dyDescent="0.25">
      <c r="A149" s="9" t="str">
        <f t="shared" si="13"/>
        <v xml:space="preserve"> - </v>
      </c>
    </row>
    <row r="150" spans="1:9" x14ac:dyDescent="0.25">
      <c r="A150" s="9" t="str">
        <f t="shared" si="13"/>
        <v xml:space="preserve"> - </v>
      </c>
    </row>
    <row r="151" spans="1:9" x14ac:dyDescent="0.25">
      <c r="A151" s="9" t="str">
        <f t="shared" si="13"/>
        <v xml:space="preserve"> - </v>
      </c>
    </row>
    <row r="152" spans="1:9" x14ac:dyDescent="0.25">
      <c r="A152" s="9" t="str">
        <f t="shared" si="13"/>
        <v xml:space="preserve"> - </v>
      </c>
    </row>
    <row r="153" spans="1:9" x14ac:dyDescent="0.25">
      <c r="A153" s="9" t="str">
        <f t="shared" si="13"/>
        <v xml:space="preserve"> - </v>
      </c>
    </row>
    <row r="154" spans="1:9" x14ac:dyDescent="0.25">
      <c r="A154" s="9" t="str">
        <f t="shared" si="13"/>
        <v xml:space="preserve"> - </v>
      </c>
    </row>
    <row r="155" spans="1:9" x14ac:dyDescent="0.25">
      <c r="A155" s="9" t="str">
        <f t="shared" si="13"/>
        <v xml:space="preserve"> - </v>
      </c>
    </row>
    <row r="156" spans="1:9" x14ac:dyDescent="0.25">
      <c r="A156" s="9" t="str">
        <f t="shared" si="13"/>
        <v>ENT - Operación</v>
      </c>
      <c r="D156" s="1" t="s">
        <v>3</v>
      </c>
      <c r="E156" s="1" t="s">
        <v>13</v>
      </c>
      <c r="F156" s="3">
        <v>98054078571</v>
      </c>
      <c r="G156" s="3">
        <f t="shared" ref="G156:G158" si="14">F156/$E$1</f>
        <v>9805407857.1000004</v>
      </c>
      <c r="H156" s="3">
        <f t="shared" ref="H156:H158" si="15">F156-I156*$E$1</f>
        <v>97952284928.600006</v>
      </c>
      <c r="I156" s="3">
        <v>10179364.24</v>
      </c>
    </row>
    <row r="157" spans="1:9" x14ac:dyDescent="0.25">
      <c r="A157" s="9" t="str">
        <f t="shared" si="13"/>
        <v>ENT - OCyG</v>
      </c>
      <c r="D157" s="1" t="s">
        <v>3</v>
      </c>
      <c r="E157" s="1" t="s">
        <v>14</v>
      </c>
      <c r="F157" s="3">
        <v>-360256068494</v>
      </c>
      <c r="G157" s="3">
        <f t="shared" si="14"/>
        <v>-36025606849.400002</v>
      </c>
      <c r="H157" s="3">
        <f t="shared" si="15"/>
        <v>-360256068494</v>
      </c>
      <c r="I157" s="3">
        <v>0</v>
      </c>
    </row>
    <row r="158" spans="1:9" x14ac:dyDescent="0.25">
      <c r="A158" s="9" t="str">
        <f t="shared" si="13"/>
        <v>ENT - Inversión</v>
      </c>
      <c r="D158" s="1" t="s">
        <v>3</v>
      </c>
      <c r="E158" s="1" t="s">
        <v>15</v>
      </c>
      <c r="F158" s="3">
        <v>1145000000</v>
      </c>
      <c r="G158" s="3">
        <f t="shared" si="14"/>
        <v>114500000</v>
      </c>
      <c r="H158" s="3">
        <f t="shared" si="15"/>
        <v>1145000000</v>
      </c>
      <c r="I158" s="3">
        <v>0</v>
      </c>
    </row>
    <row r="159" spans="1:9" x14ac:dyDescent="0.25">
      <c r="A159" s="9" t="str">
        <f t="shared" si="13"/>
        <v xml:space="preserve"> - </v>
      </c>
    </row>
    <row r="160" spans="1:9" x14ac:dyDescent="0.25">
      <c r="A160" s="9" t="str">
        <f t="shared" si="13"/>
        <v xml:space="preserve"> - </v>
      </c>
    </row>
    <row r="161" spans="1:1" x14ac:dyDescent="0.25">
      <c r="A161" s="9" t="str">
        <f t="shared" si="13"/>
        <v xml:space="preserve"> - </v>
      </c>
    </row>
    <row r="162" spans="1:1" x14ac:dyDescent="0.25">
      <c r="A162" s="9" t="str">
        <f t="shared" si="13"/>
        <v xml:space="preserve"> - </v>
      </c>
    </row>
    <row r="163" spans="1:1" x14ac:dyDescent="0.25">
      <c r="A163" s="9" t="str">
        <f t="shared" si="13"/>
        <v xml:space="preserve"> - </v>
      </c>
    </row>
    <row r="164" spans="1:1" x14ac:dyDescent="0.25">
      <c r="A164" s="9" t="str">
        <f t="shared" si="13"/>
        <v xml:space="preserve"> - </v>
      </c>
    </row>
    <row r="165" spans="1:1" x14ac:dyDescent="0.25">
      <c r="A165" s="9" t="str">
        <f t="shared" si="13"/>
        <v xml:space="preserve"> - </v>
      </c>
    </row>
    <row r="166" spans="1:1" x14ac:dyDescent="0.25">
      <c r="A166" s="9" t="str">
        <f t="shared" si="13"/>
        <v xml:space="preserve"> - </v>
      </c>
    </row>
    <row r="167" spans="1:1" x14ac:dyDescent="0.25">
      <c r="A167" s="9" t="str">
        <f t="shared" si="13"/>
        <v xml:space="preserve"> - </v>
      </c>
    </row>
    <row r="168" spans="1:1" x14ac:dyDescent="0.25">
      <c r="A168" s="9" t="str">
        <f t="shared" si="13"/>
        <v xml:space="preserve"> - </v>
      </c>
    </row>
    <row r="169" spans="1:1" x14ac:dyDescent="0.25">
      <c r="A169" s="9" t="str">
        <f t="shared" si="13"/>
        <v xml:space="preserve"> - </v>
      </c>
    </row>
    <row r="170" spans="1:1" x14ac:dyDescent="0.25">
      <c r="A170" s="9" t="str">
        <f t="shared" si="13"/>
        <v xml:space="preserve"> - </v>
      </c>
    </row>
    <row r="171" spans="1:1" x14ac:dyDescent="0.25">
      <c r="A171" s="9" t="str">
        <f t="shared" si="13"/>
        <v xml:space="preserve"> - </v>
      </c>
    </row>
    <row r="172" spans="1:1" x14ac:dyDescent="0.25">
      <c r="A172" s="9" t="str">
        <f t="shared" si="13"/>
        <v xml:space="preserve"> - </v>
      </c>
    </row>
    <row r="173" spans="1:1" x14ac:dyDescent="0.25">
      <c r="A173" s="9" t="str">
        <f t="shared" si="13"/>
        <v xml:space="preserve"> - </v>
      </c>
    </row>
    <row r="174" spans="1:1" x14ac:dyDescent="0.25">
      <c r="A174" s="9" t="str">
        <f t="shared" si="13"/>
        <v xml:space="preserve"> - </v>
      </c>
    </row>
    <row r="175" spans="1:1" x14ac:dyDescent="0.25">
      <c r="A175" s="9" t="str">
        <f t="shared" si="13"/>
        <v xml:space="preserve"> - </v>
      </c>
    </row>
    <row r="176" spans="1:1" x14ac:dyDescent="0.25">
      <c r="A176" s="9" t="str">
        <f t="shared" si="13"/>
        <v xml:space="preserve"> - </v>
      </c>
    </row>
    <row r="177" spans="1:1" x14ac:dyDescent="0.25">
      <c r="A177" s="9" t="str">
        <f t="shared" si="13"/>
        <v xml:space="preserve"> - </v>
      </c>
    </row>
    <row r="178" spans="1:1" x14ac:dyDescent="0.25">
      <c r="A178" s="9" t="str">
        <f t="shared" si="13"/>
        <v xml:space="preserve"> - </v>
      </c>
    </row>
    <row r="179" spans="1:1" x14ac:dyDescent="0.25">
      <c r="A179" s="9" t="str">
        <f t="shared" si="13"/>
        <v xml:space="preserve"> - </v>
      </c>
    </row>
    <row r="180" spans="1:1" x14ac:dyDescent="0.25">
      <c r="A180" s="9" t="str">
        <f t="shared" si="13"/>
        <v xml:space="preserve"> - </v>
      </c>
    </row>
    <row r="181" spans="1:1" x14ac:dyDescent="0.25">
      <c r="A181" s="9" t="str">
        <f t="shared" si="13"/>
        <v xml:space="preserve"> - </v>
      </c>
    </row>
    <row r="182" spans="1:1" x14ac:dyDescent="0.25">
      <c r="A182" s="9" t="str">
        <f t="shared" si="13"/>
        <v xml:space="preserve"> - </v>
      </c>
    </row>
    <row r="183" spans="1:1" x14ac:dyDescent="0.25">
      <c r="A183" s="9" t="str">
        <f t="shared" si="13"/>
        <v xml:space="preserve"> - </v>
      </c>
    </row>
    <row r="184" spans="1:1" x14ac:dyDescent="0.25">
      <c r="A184" s="9" t="str">
        <f t="shared" si="13"/>
        <v xml:space="preserve"> - </v>
      </c>
    </row>
    <row r="185" spans="1:1" x14ac:dyDescent="0.25">
      <c r="A185" s="9" t="str">
        <f t="shared" si="13"/>
        <v xml:space="preserve"> - </v>
      </c>
    </row>
    <row r="186" spans="1:1" x14ac:dyDescent="0.25">
      <c r="A186" s="9" t="str">
        <f t="shared" si="13"/>
        <v xml:space="preserve"> - </v>
      </c>
    </row>
    <row r="187" spans="1:1" x14ac:dyDescent="0.25">
      <c r="A187" s="9" t="str">
        <f t="shared" si="13"/>
        <v xml:space="preserve"> - </v>
      </c>
    </row>
    <row r="188" spans="1:1" x14ac:dyDescent="0.25">
      <c r="A188" s="9" t="str">
        <f t="shared" si="13"/>
        <v xml:space="preserve"> - </v>
      </c>
    </row>
    <row r="189" spans="1:1" x14ac:dyDescent="0.25">
      <c r="A189" s="9" t="str">
        <f t="shared" si="13"/>
        <v xml:space="preserve"> - </v>
      </c>
    </row>
    <row r="190" spans="1:1" x14ac:dyDescent="0.25">
      <c r="A190" s="9" t="str">
        <f t="shared" si="13"/>
        <v xml:space="preserve"> - </v>
      </c>
    </row>
    <row r="191" spans="1:1" x14ac:dyDescent="0.25">
      <c r="A191" s="9" t="str">
        <f t="shared" si="13"/>
        <v xml:space="preserve"> - </v>
      </c>
    </row>
    <row r="192" spans="1:1" x14ac:dyDescent="0.25">
      <c r="A192" s="9" t="str">
        <f t="shared" si="13"/>
        <v xml:space="preserve"> - </v>
      </c>
    </row>
    <row r="193" spans="1:1" x14ac:dyDescent="0.25">
      <c r="A193" s="9" t="str">
        <f t="shared" si="13"/>
        <v xml:space="preserve"> - </v>
      </c>
    </row>
    <row r="194" spans="1:1" x14ac:dyDescent="0.25">
      <c r="A194" s="9" t="str">
        <f t="shared" si="13"/>
        <v xml:space="preserve"> - </v>
      </c>
    </row>
    <row r="195" spans="1:1" x14ac:dyDescent="0.25">
      <c r="A195" s="9" t="str">
        <f t="shared" si="13"/>
        <v xml:space="preserve"> - </v>
      </c>
    </row>
    <row r="196" spans="1:1" x14ac:dyDescent="0.25">
      <c r="A196" s="9" t="str">
        <f t="shared" ref="A196:A200" si="16">D196&amp;" - "&amp;E196</f>
        <v xml:space="preserve"> - </v>
      </c>
    </row>
    <row r="197" spans="1:1" x14ac:dyDescent="0.25">
      <c r="A197" s="9" t="str">
        <f t="shared" si="16"/>
        <v xml:space="preserve"> - </v>
      </c>
    </row>
    <row r="198" spans="1:1" x14ac:dyDescent="0.25">
      <c r="A198" s="9" t="str">
        <f t="shared" si="16"/>
        <v xml:space="preserve"> - </v>
      </c>
    </row>
    <row r="199" spans="1:1" x14ac:dyDescent="0.25">
      <c r="A199" s="9" t="str">
        <f t="shared" si="16"/>
        <v xml:space="preserve"> - </v>
      </c>
    </row>
    <row r="200" spans="1:1" x14ac:dyDescent="0.25">
      <c r="A200" s="9" t="str">
        <f t="shared" si="16"/>
        <v xml:space="preserve"> - </v>
      </c>
    </row>
  </sheetData>
  <autoFilter ref="A2:M200"/>
  <dataValidations count="2">
    <dataValidation type="list" allowBlank="1" showInputMessage="1" showErrorMessage="1" sqref="E3:E1048576">
      <formula1>Presupuesto</formula1>
    </dataValidation>
    <dataValidation type="list" allowBlank="1" showInputMessage="1" showErrorMessage="1" sqref="D3:D1048576">
      <formula1>NegocioFilial</formula1>
    </dataValidation>
  </dataValidation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5</vt:i4>
      </vt:variant>
    </vt:vector>
  </HeadingPairs>
  <TitlesOfParts>
    <vt:vector size="15" baseType="lpstr">
      <vt:lpstr>Resumen</vt:lpstr>
      <vt:lpstr>BD</vt:lpstr>
      <vt:lpstr>Sometido</vt:lpstr>
      <vt:lpstr>Original 2019</vt:lpstr>
      <vt:lpstr>Revisado II 2018</vt:lpstr>
      <vt:lpstr>Revisado 2018</vt:lpstr>
      <vt:lpstr>Original 2018</vt:lpstr>
      <vt:lpstr>Revisado 2017</vt:lpstr>
      <vt:lpstr>Original 2017</vt:lpstr>
      <vt:lpstr>Revisado 2016</vt:lpstr>
      <vt:lpstr>Evento</vt:lpstr>
      <vt:lpstr>EventoSometido</vt:lpstr>
      <vt:lpstr>NegocioFilial</vt:lpstr>
      <vt:lpstr>Presupuesto</vt:lpstr>
      <vt:lpstr>Resumen!Títulos_a_imprimir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2019-05-02T13:29:17Z</dcterms:modified>
</cp:coreProperties>
</file>